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A2CC20DB-2698-47BF-99F1-885CD8688E12}" xr6:coauthVersionLast="45" xr6:coauthVersionMax="45" xr10:uidLastSave="{00000000-0000-0000-0000-000000000000}"/>
  <bookViews>
    <workbookView xWindow="16545" yWindow="6780" windowWidth="28800" windowHeight="15345" tabRatio="786" activeTab="7" xr2:uid="{00000000-000D-0000-FFFF-FFFF00000000}"/>
  </bookViews>
  <sheets>
    <sheet name="Sheet1" sheetId="1" r:id="rId1"/>
    <sheet name="Sheet2" sheetId="2" r:id="rId2"/>
    <sheet name="Urok10" sheetId="3" r:id="rId3"/>
    <sheet name="colors" sheetId="5" r:id="rId4"/>
    <sheet name="HW12" sheetId="4" r:id="rId5"/>
    <sheet name="VW" sheetId="6" r:id="rId6"/>
    <sheet name="BSHW" sheetId="7" r:id="rId7"/>
    <sheet name="Find" sheetId="8" r:id="rId8"/>
    <sheet name="MultiArr1" sheetId="9" r:id="rId9"/>
    <sheet name="MultiArr2" sheetId="10" r:id="rId10"/>
    <sheet name="MultiArr3" sheetId="11" r:id="rId11"/>
    <sheet name="List" sheetId="12" r:id="rId12"/>
  </sheets>
  <functionGroups builtInGroupCount="19">
    <functionGroup name="My Custom Category"/>
  </functionGroups>
  <definedNames>
    <definedName name="_xlnm._FilterDatabase" localSheetId="5" hidden="1">VW!$A$4:$E$11</definedName>
  </definedNames>
  <calcPr calcId="191029"/>
  <extLst>
    <ext xmlns:x14="http://schemas.microsoft.com/office/spreadsheetml/2009/9/main" uri="{8193D73E-4604-4355-AFF4-8A2333D13BE4}">
      <x14:definedNames>
        <x14:definedName name="ABC_Analysis">
          <x14:argumentDescriptions count="3">
            <x14:argumentDescription index="0">Область значений подлежащих ABC-Анализу</x14:argumentDescription>
            <x14:argumentDescription index="1">Текущее значение (ячейка должна принадлежать области из первого аргумента)</x14:argumentDescription>
            <x14:argumentDescription index="2">Опциональный аргумент - [Letter] выдает литеральный класс, [Cumulative] - накопительную долю. При игнорировании выдается литеральный класс.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" i="9" l="1"/>
  <c r="H6" i="9"/>
  <c r="H5" i="9"/>
  <c r="H7" i="9"/>
  <c r="H3" i="9"/>
  <c r="H2" i="9"/>
  <c r="I5" i="9"/>
  <c r="I6" i="9"/>
  <c r="I7" i="9"/>
  <c r="I4" i="9"/>
  <c r="I3" i="9"/>
  <c r="I2" i="9"/>
  <c r="N11" i="8" l="1"/>
  <c r="O11" i="8" s="1"/>
  <c r="M11" i="8"/>
  <c r="M10" i="8"/>
  <c r="N10" i="8" s="1"/>
  <c r="O10" i="8" s="1"/>
  <c r="M9" i="8"/>
  <c r="N9" i="8" s="1"/>
  <c r="O9" i="8" s="1"/>
  <c r="M8" i="8"/>
  <c r="N8" i="8" s="1"/>
  <c r="O8" i="8" s="1"/>
  <c r="M7" i="8"/>
  <c r="N7" i="8" s="1"/>
  <c r="O7" i="8" s="1"/>
  <c r="J5" i="6" l="1"/>
  <c r="D11" i="6"/>
  <c r="B11" i="6"/>
  <c r="C11" i="6"/>
  <c r="G19" i="6"/>
  <c r="G27" i="6" l="1"/>
  <c r="G20" i="6"/>
  <c r="G21" i="6"/>
  <c r="G22" i="6"/>
  <c r="G23" i="6"/>
  <c r="G24" i="6"/>
  <c r="G25" i="6"/>
  <c r="G26" i="6"/>
  <c r="I19" i="6"/>
  <c r="C28" i="6"/>
  <c r="B28" i="6"/>
  <c r="D25" i="6"/>
  <c r="D19" i="6"/>
  <c r="D24" i="6"/>
  <c r="D26" i="6"/>
  <c r="D20" i="6"/>
  <c r="D22" i="6"/>
  <c r="D23" i="6"/>
  <c r="D21" i="6"/>
  <c r="D27" i="6"/>
  <c r="H6" i="6" l="1"/>
  <c r="H9" i="6"/>
  <c r="H7" i="6"/>
  <c r="H8" i="6"/>
  <c r="H10" i="6"/>
  <c r="H5" i="6"/>
  <c r="G8" i="6"/>
  <c r="G9" i="6"/>
  <c r="G10" i="6"/>
  <c r="G5" i="6"/>
  <c r="I5" i="6" s="1"/>
  <c r="G6" i="6"/>
  <c r="G7" i="6"/>
  <c r="I20" i="6"/>
  <c r="I21" i="6" s="1"/>
  <c r="I22" i="6" s="1"/>
  <c r="I23" i="6" s="1"/>
  <c r="I24" i="6" s="1"/>
  <c r="I25" i="6" s="1"/>
  <c r="I26" i="6" s="1"/>
  <c r="I27" i="6" s="1"/>
  <c r="E10" i="6"/>
  <c r="E8" i="6"/>
  <c r="E7" i="6"/>
  <c r="E5" i="6"/>
  <c r="K19" i="6"/>
  <c r="E9" i="6"/>
  <c r="E6" i="6"/>
  <c r="K10" i="6"/>
  <c r="K8" i="6"/>
  <c r="K9" i="6"/>
  <c r="E11" i="6" l="1"/>
  <c r="I6" i="6"/>
  <c r="I7" i="6"/>
  <c r="I8" i="6"/>
  <c r="I9" i="6" s="1"/>
  <c r="I10" i="6" s="1"/>
  <c r="J6" i="6"/>
  <c r="J7" i="6" s="1"/>
  <c r="J8" i="6" s="1"/>
  <c r="J9" i="6" s="1"/>
  <c r="J10" i="6" s="1"/>
  <c r="H19" i="6"/>
  <c r="J19" i="6" s="1"/>
  <c r="H20" i="6"/>
  <c r="H22" i="6"/>
  <c r="H21" i="6"/>
  <c r="H26" i="6"/>
  <c r="H27" i="6"/>
  <c r="H25" i="6"/>
  <c r="H24" i="6"/>
  <c r="H23" i="6"/>
  <c r="D28" i="6"/>
  <c r="K6" i="6"/>
  <c r="K27" i="6"/>
  <c r="K5" i="6"/>
  <c r="K23" i="6"/>
  <c r="K22" i="6"/>
  <c r="K20" i="6"/>
  <c r="K26" i="6"/>
  <c r="K21" i="6"/>
  <c r="K7" i="6"/>
  <c r="K25" i="6"/>
  <c r="K24" i="6"/>
  <c r="J20" i="6" l="1"/>
  <c r="J21" i="6" s="1"/>
  <c r="J22" i="6" s="1"/>
  <c r="J23" i="6" s="1"/>
  <c r="J24" i="6" s="1"/>
  <c r="J25" i="6" s="1"/>
  <c r="J26" i="6" s="1"/>
  <c r="J27" i="6" s="1"/>
</calcChain>
</file>

<file path=xl/sharedStrings.xml><?xml version="1.0" encoding="utf-8"?>
<sst xmlns="http://schemas.openxmlformats.org/spreadsheetml/2006/main" count="233" uniqueCount="116">
  <si>
    <t>Anastasia</t>
  </si>
  <si>
    <t>Niko</t>
  </si>
  <si>
    <t>good</t>
  </si>
  <si>
    <t>excellent</t>
  </si>
  <si>
    <t>Andrei</t>
  </si>
  <si>
    <t>Anna</t>
  </si>
  <si>
    <t>Oleg</t>
  </si>
  <si>
    <t>satisfactory</t>
  </si>
  <si>
    <t>Stop</t>
  </si>
  <si>
    <t>model</t>
  </si>
  <si>
    <t>avearage price</t>
  </si>
  <si>
    <t>revenue</t>
  </si>
  <si>
    <t>revenue function</t>
  </si>
  <si>
    <t>Arteon</t>
  </si>
  <si>
    <t>Atlas</t>
  </si>
  <si>
    <t>Beetle</t>
  </si>
  <si>
    <t>Bora</t>
  </si>
  <si>
    <t>Fox</t>
  </si>
  <si>
    <t>Golf</t>
  </si>
  <si>
    <t>sold (pcs)</t>
  </si>
  <si>
    <t>share (pcs)</t>
  </si>
  <si>
    <t>share (EUR)</t>
  </si>
  <si>
    <t>accumulated share (pcs)</t>
  </si>
  <si>
    <t>accumulated share(EUR)</t>
  </si>
  <si>
    <t>class A</t>
  </si>
  <si>
    <t>class B</t>
  </si>
  <si>
    <t>class C</t>
  </si>
  <si>
    <t>x &lt;= 80</t>
  </si>
  <si>
    <t>80 &lt;= x &lt; = 95</t>
  </si>
  <si>
    <t>95 &lt; x</t>
  </si>
  <si>
    <t>classes</t>
  </si>
  <si>
    <t>Mmm</t>
  </si>
  <si>
    <t>Lll</t>
  </si>
  <si>
    <t>Sss</t>
  </si>
  <si>
    <t>Screenshot_1</t>
  </si>
  <si>
    <t>Исходные данные</t>
  </si>
  <si>
    <t>Пошагово проганите процедуру и посмотрите процесс выполнения Bubble Sort :)</t>
  </si>
  <si>
    <t>Отсортированные значения</t>
  </si>
  <si>
    <t>A</t>
  </si>
  <si>
    <t>C</t>
  </si>
  <si>
    <t>D</t>
  </si>
  <si>
    <t>F</t>
  </si>
  <si>
    <t>G</t>
  </si>
  <si>
    <t>H</t>
  </si>
  <si>
    <t>B</t>
  </si>
  <si>
    <t>E</t>
  </si>
  <si>
    <t>I</t>
  </si>
  <si>
    <t>WS</t>
  </si>
  <si>
    <t>Row</t>
  </si>
  <si>
    <t>Col</t>
  </si>
  <si>
    <t>Value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</si>
  <si>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</si>
  <si>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</si>
  <si>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</si>
  <si>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</si>
  <si>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</si>
  <si>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</si>
  <si>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</si>
  <si>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</si>
  <si>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</si>
  <si>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values</t>
  </si>
  <si>
    <t>keys</t>
  </si>
  <si>
    <t>pens</t>
  </si>
  <si>
    <t>pencils</t>
  </si>
  <si>
    <t>pins</t>
  </si>
  <si>
    <t>markers</t>
  </si>
  <si>
    <t>books</t>
  </si>
  <si>
    <t>Информация для рассылки подтверждения аренды автомобиля</t>
  </si>
  <si>
    <t>Mail</t>
  </si>
  <si>
    <t>Имя</t>
  </si>
  <si>
    <t>Фамилия</t>
  </si>
  <si>
    <t>Пол</t>
  </si>
  <si>
    <t>Модель</t>
  </si>
  <si>
    <t>Цена ($/Сутки)</t>
  </si>
  <si>
    <t>Аренда 
с</t>
  </si>
  <si>
    <t>Аренда 
по</t>
  </si>
  <si>
    <t>Дней</t>
  </si>
  <si>
    <t>Стоимость заказа ($)</t>
  </si>
  <si>
    <t>Toyota Camry</t>
  </si>
  <si>
    <t>j.a@gmail.com</t>
  </si>
  <si>
    <t>Юлия</t>
  </si>
  <si>
    <t>Арбатская</t>
  </si>
  <si>
    <t>Skoda Kodiaq</t>
  </si>
  <si>
    <t>a.b@gmail.com</t>
  </si>
  <si>
    <t>Алексей</t>
  </si>
  <si>
    <t>Бабанов</t>
  </si>
  <si>
    <t>Hyundai I40</t>
  </si>
  <si>
    <t>i.p@gmail.com</t>
  </si>
  <si>
    <t>Изольда</t>
  </si>
  <si>
    <t>Парфиненко</t>
  </si>
  <si>
    <t>VW Polo</t>
  </si>
  <si>
    <t>p.p@gmail.com</t>
  </si>
  <si>
    <t>Павел</t>
  </si>
  <si>
    <t>Пенский</t>
  </si>
  <si>
    <t>Kia Optima</t>
  </si>
  <si>
    <t>m</t>
  </si>
  <si>
    <t>w</t>
  </si>
  <si>
    <t>johnny.dollar@outlook.com</t>
  </si>
  <si>
    <t>Johnny</t>
  </si>
  <si>
    <t>Dollar</t>
  </si>
  <si>
    <t>Решение Версия 3</t>
  </si>
  <si>
    <t>2201109-Тест</t>
  </si>
  <si>
    <t>Задача 5 от 19 ноября</t>
  </si>
  <si>
    <t>20201110 Тест v2</t>
  </si>
  <si>
    <t>20201110 Тест v3Final</t>
  </si>
  <si>
    <t>Задание</t>
  </si>
  <si>
    <t>текст</t>
  </si>
  <si>
    <t>res func1</t>
  </si>
  <si>
    <t>res func2</t>
  </si>
  <si>
    <t>France</t>
  </si>
  <si>
    <t>Russia</t>
  </si>
  <si>
    <t>Belarus</t>
  </si>
  <si>
    <t>Germany</t>
  </si>
  <si>
    <t>Countries</t>
  </si>
  <si>
    <t>Holland</t>
  </si>
  <si>
    <t>a, b, c, d, e, f,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</si>
</sst>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i/>
      <sz val="24"/>
      <color theme="1"/>
      <name val="Calibri"/>
      <family val="2"/>
      <charset val="204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737373"/>
      <name val="Calibri"/>
      <family val="2"/>
      <scheme val="minor"/>
    </font>
    <font>
      <sz val="11"/>
      <color rgb="FF32CD3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6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77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/>
    <xf numFmtId="0" fontId="1" fillId="0" borderId="0" xfId="0" applyFont="1"/>
    <xf numFmtId="0" fontId="0" fillId="0" borderId="0" xfId="0" applyFill="1"/>
    <xf numFmtId="0" fontId="1" fillId="0" borderId="1" xfId="0" applyFont="1" applyFill="1" applyBorder="1"/>
    <xf numFmtId="0" fontId="0" fillId="0" borderId="1" xfId="0" applyFill="1" applyBorder="1"/>
    <xf numFmtId="0" fontId="2" fillId="0" borderId="1" xfId="0" applyFont="1" applyFill="1" applyBorder="1"/>
    <xf numFmtId="0" fontId="3" fillId="0" borderId="1" xfId="0" applyFont="1" applyFill="1" applyBorder="1"/>
    <xf numFmtId="0" fontId="0" fillId="0" borderId="0" xfId="0" applyNumberFormat="1" applyFill="1"/>
    <xf numFmtId="0" fontId="3" fillId="0" borderId="0" xfId="0" applyFont="1" applyFill="1"/>
    <xf numFmtId="0" fontId="0" fillId="0" borderId="2" xfId="0" applyFill="1" applyBorder="1"/>
    <xf numFmtId="4" fontId="0" fillId="0" borderId="1" xfId="0" applyNumberFormat="1" applyFill="1" applyBorder="1"/>
    <xf numFmtId="0" fontId="0" fillId="0" borderId="3" xfId="0" applyFill="1" applyBorder="1"/>
    <xf numFmtId="4" fontId="2" fillId="0" borderId="4" xfId="0" applyNumberFormat="1" applyFont="1" applyFill="1" applyBorder="1"/>
    <xf numFmtId="4" fontId="2" fillId="0" borderId="1" xfId="0" applyNumberFormat="1" applyFont="1" applyFill="1" applyBorder="1"/>
    <xf numFmtId="164" fontId="0" fillId="0" borderId="1" xfId="1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164" fontId="0" fillId="0" borderId="1" xfId="0" applyNumberFormat="1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4" fontId="0" fillId="0" borderId="0" xfId="0" applyNumberFormat="1" applyFill="1" applyBorder="1"/>
    <xf numFmtId="4" fontId="2" fillId="0" borderId="0" xfId="0" applyNumberFormat="1" applyFont="1" applyFill="1" applyBorder="1"/>
    <xf numFmtId="0" fontId="2" fillId="0" borderId="3" xfId="0" applyFont="1" applyFill="1" applyBorder="1" applyAlignment="1">
      <alignment horizontal="center" vertical="center"/>
    </xf>
    <xf numFmtId="4" fontId="0" fillId="0" borderId="3" xfId="0" applyNumberFormat="1" applyFill="1" applyBorder="1"/>
    <xf numFmtId="4" fontId="0" fillId="0" borderId="5" xfId="0" applyNumberFormat="1" applyFill="1" applyBorder="1"/>
    <xf numFmtId="0" fontId="0" fillId="0" borderId="6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9" fontId="0" fillId="0" borderId="1" xfId="0" applyNumberFormat="1" applyFill="1" applyBorder="1" applyAlignment="1">
      <alignment horizontal="center" vertical="center"/>
    </xf>
    <xf numFmtId="0" fontId="0" fillId="2" borderId="1" xfId="0" applyFill="1" applyBorder="1"/>
    <xf numFmtId="0" fontId="7" fillId="4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4" borderId="0" xfId="0" applyFont="1" applyFill="1"/>
    <xf numFmtId="0" fontId="0" fillId="4" borderId="0" xfId="0" applyFill="1"/>
    <xf numFmtId="0" fontId="7" fillId="3" borderId="0" xfId="0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10" fillId="0" borderId="0" xfId="0" applyFont="1" applyFill="1"/>
    <xf numFmtId="0" fontId="0" fillId="0" borderId="0" xfId="0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14" fillId="4" borderId="5" xfId="2" applyFill="1" applyBorder="1"/>
    <xf numFmtId="0" fontId="0" fillId="4" borderId="6" xfId="0" applyFill="1" applyBorder="1" applyAlignment="1">
      <alignment horizontal="left" vertical="center"/>
    </xf>
    <xf numFmtId="0" fontId="0" fillId="4" borderId="0" xfId="0" applyFill="1" applyAlignment="1">
      <alignment horizontal="left" vertical="center"/>
    </xf>
    <xf numFmtId="14" fontId="0" fillId="4" borderId="0" xfId="0" applyNumberFormat="1" applyFill="1" applyAlignment="1">
      <alignment horizontal="left" vertical="center"/>
    </xf>
    <xf numFmtId="14" fontId="0" fillId="4" borderId="6" xfId="0" applyNumberFormat="1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14" fontId="0" fillId="4" borderId="2" xfId="0" applyNumberFormat="1" applyFill="1" applyBorder="1" applyAlignment="1">
      <alignment horizontal="left" vertical="center"/>
    </xf>
    <xf numFmtId="0" fontId="0" fillId="4" borderId="0" xfId="0" applyFill="1" applyAlignment="1">
      <alignment horizontal="left" vertical="center" wrapText="1"/>
    </xf>
    <xf numFmtId="0" fontId="14" fillId="4" borderId="9" xfId="2" applyFill="1" applyBorder="1"/>
    <xf numFmtId="0" fontId="0" fillId="4" borderId="7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 wrapText="1"/>
    </xf>
    <xf numFmtId="14" fontId="0" fillId="4" borderId="8" xfId="0" applyNumberFormat="1" applyFill="1" applyBorder="1" applyAlignment="1">
      <alignment horizontal="left" vertical="center"/>
    </xf>
    <xf numFmtId="14" fontId="0" fillId="4" borderId="7" xfId="0" applyNumberFormat="1" applyFill="1" applyBorder="1" applyAlignment="1">
      <alignment horizontal="left" vertical="center"/>
    </xf>
    <xf numFmtId="0" fontId="2" fillId="4" borderId="7" xfId="0" applyFont="1" applyFill="1" applyBorder="1" applyAlignment="1">
      <alignment horizontal="left" vertical="center" wrapText="1"/>
    </xf>
    <xf numFmtId="0" fontId="0" fillId="0" borderId="0" xfId="0" applyBorder="1"/>
    <xf numFmtId="0" fontId="2" fillId="0" borderId="1" xfId="0" applyFont="1" applyBorder="1"/>
    <xf numFmtId="0" fontId="0" fillId="0" borderId="2" xfId="0" applyBorder="1"/>
    <xf numFmtId="0" fontId="0" fillId="0" borderId="7" xfId="0" applyBorder="1"/>
    <xf numFmtId="0" fontId="9" fillId="0" borderId="0" xfId="0" applyFont="1" applyFill="1" applyAlignment="1">
      <alignment horizontal="center" wrapText="1"/>
    </xf>
    <xf numFmtId="0" fontId="15" fillId="4" borderId="1" xfId="0" applyFont="1" applyFill="1" applyBorder="1" applyAlignment="1">
      <alignment horizontal="center"/>
    </xf>
  </cellXfs>
  <cellStyles count="3">
    <cellStyle name="Гиперссылка" xfId="2" builtinId="8"/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ABC - Analysis</a:t>
            </a:r>
          </a:p>
        </c:rich>
      </c:tx>
      <c:layout>
        <c:manualLayout>
          <c:xMode val="edge"/>
          <c:yMode val="edge"/>
          <c:x val="0.43624478356134688"/>
          <c:y val="3.79819486849858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VW!$J$18</c:f>
              <c:strCache>
                <c:ptCount val="1"/>
                <c:pt idx="0">
                  <c:v>accumulated share(EUR)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VW!$I$19:$I$27</c:f>
              <c:numCache>
                <c:formatCode>0.0%</c:formatCode>
                <c:ptCount val="9"/>
                <c:pt idx="0">
                  <c:v>8.0645161290322578E-2</c:v>
                </c:pt>
                <c:pt idx="1">
                  <c:v>0.13978494623655913</c:v>
                </c:pt>
                <c:pt idx="2">
                  <c:v>0.20430107526881719</c:v>
                </c:pt>
                <c:pt idx="3">
                  <c:v>0.31182795698924731</c:v>
                </c:pt>
                <c:pt idx="4">
                  <c:v>0.4623655913978495</c:v>
                </c:pt>
                <c:pt idx="5">
                  <c:v>0.61290322580645162</c:v>
                </c:pt>
                <c:pt idx="6">
                  <c:v>0.78494623655913975</c:v>
                </c:pt>
                <c:pt idx="7">
                  <c:v>0.89247311827956988</c:v>
                </c:pt>
                <c:pt idx="8">
                  <c:v>1</c:v>
                </c:pt>
              </c:numCache>
            </c:numRef>
          </c:xVal>
          <c:yVal>
            <c:numRef>
              <c:f>VW!$J$19:$J$27</c:f>
              <c:numCache>
                <c:formatCode>0.0%</c:formatCode>
                <c:ptCount val="9"/>
                <c:pt idx="0">
                  <c:v>0.30410542321338063</c:v>
                </c:pt>
                <c:pt idx="1">
                  <c:v>0.57357661767190404</c:v>
                </c:pt>
                <c:pt idx="2">
                  <c:v>0.75603987159993247</c:v>
                </c:pt>
                <c:pt idx="3">
                  <c:v>0.84051360027031596</c:v>
                </c:pt>
                <c:pt idx="4">
                  <c:v>0.90201047474235518</c:v>
                </c:pt>
                <c:pt idx="5">
                  <c:v>0.94931576279776997</c:v>
                </c:pt>
                <c:pt idx="6">
                  <c:v>0.97634735597229272</c:v>
                </c:pt>
                <c:pt idx="7">
                  <c:v>0.98986315255955404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69-4070-99E5-415FCC08F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725663"/>
        <c:axId val="630174735"/>
      </c:scatterChart>
      <c:valAx>
        <c:axId val="630725663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accumulated share (psc)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30174735"/>
        <c:crosses val="autoZero"/>
        <c:crossBetween val="midCat"/>
      </c:valAx>
      <c:valAx>
        <c:axId val="63017473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accumulated</a:t>
                </a:r>
                <a:r>
                  <a:rPr lang="en-US" baseline="0"/>
                  <a:t> share EUR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30725663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7F-4D6D-93F6-F5DCA797DD8D}"/>
              </c:ext>
            </c:extLst>
          </c:dPt>
          <c:dPt>
            <c:idx val="1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7F-4D6D-93F6-F5DCA797DD8D}"/>
              </c:ext>
            </c:extLst>
          </c:dPt>
          <c:dPt>
            <c:idx val="2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7F-4D6D-93F6-F5DCA797DD8D}"/>
              </c:ext>
            </c:extLst>
          </c:dPt>
          <c:dPt>
            <c:idx val="3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E7F-4D6D-93F6-F5DCA797DD8D}"/>
              </c:ext>
            </c:extLst>
          </c:dPt>
          <c:dPt>
            <c:idx val="4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E7F-4D6D-93F6-F5DCA797DD8D}"/>
              </c:ext>
            </c:extLst>
          </c:dPt>
          <c:dPt>
            <c:idx val="5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E7F-4D6D-93F6-F5DCA797DD8D}"/>
              </c:ext>
            </c:extLst>
          </c:dPt>
          <c:dPt>
            <c:idx val="6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E7F-4D6D-93F6-F5DCA797DD8D}"/>
              </c:ext>
            </c:extLst>
          </c:dPt>
          <c:dPt>
            <c:idx val="7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E7F-4D6D-93F6-F5DCA797DD8D}"/>
              </c:ext>
            </c:extLst>
          </c:dPt>
          <c:dPt>
            <c:idx val="8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FE7F-4D6D-93F6-F5DCA797DD8D}"/>
              </c:ext>
            </c:extLst>
          </c:dPt>
          <c:val>
            <c:numRef>
              <c:f>BSHW!$B$18:$R$18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E7F-4D6D-93F6-F5DCA797D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091120"/>
        <c:axId val="447095712"/>
      </c:barChart>
      <c:catAx>
        <c:axId val="44709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7095712"/>
        <c:crosses val="autoZero"/>
        <c:auto val="1"/>
        <c:lblAlgn val="ctr"/>
        <c:lblOffset val="100"/>
        <c:noMultiLvlLbl val="0"/>
      </c:catAx>
      <c:valAx>
        <c:axId val="44709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709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Homework 12_3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31</xdr:row>
      <xdr:rowOff>95250</xdr:rowOff>
    </xdr:from>
    <xdr:to>
      <xdr:col>7</xdr:col>
      <xdr:colOff>1009650</xdr:colOff>
      <xdr:row>51</xdr:row>
      <xdr:rowOff>19050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1246908</xdr:colOff>
      <xdr:row>3</xdr:row>
      <xdr:rowOff>55418</xdr:rowOff>
    </xdr:from>
    <xdr:to>
      <xdr:col>18</xdr:col>
      <xdr:colOff>400050</xdr:colOff>
      <xdr:row>16</xdr:row>
      <xdr:rowOff>4457700</xdr:rowOff>
    </xdr:to>
    <xdr:graphicFrame macro="">
      <xdr:nvGraphicFramePr>
        <xdr:cNvPr id="2" name="bubbleSortChart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180975</xdr:rowOff>
        </xdr:from>
        <xdr:to>
          <xdr:col>3</xdr:col>
          <xdr:colOff>600075</xdr:colOff>
          <xdr:row>15</xdr:row>
          <xdr:rowOff>180975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7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Color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9525</xdr:rowOff>
        </xdr:from>
        <xdr:to>
          <xdr:col>4</xdr:col>
          <xdr:colOff>0</xdr:colOff>
          <xdr:row>23</xdr:row>
          <xdr:rowOff>9525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7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Colors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B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B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0</xdr:rowOff>
        </xdr:from>
        <xdr:to>
          <xdr:col>2</xdr:col>
          <xdr:colOff>600075</xdr:colOff>
          <xdr:row>33</xdr:row>
          <xdr:rowOff>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B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Multi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9525</xdr:rowOff>
        </xdr:from>
        <xdr:to>
          <xdr:col>3</xdr:col>
          <xdr:colOff>0</xdr:colOff>
          <xdr:row>40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B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B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hyperlink" Target="mailto:a.b@gmail.com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mailto:i.p@gmail.com" TargetMode="External"/><Relationship Id="rId1" Type="http://schemas.openxmlformats.org/officeDocument/2006/relationships/hyperlink" Target="mailto:p.p@gmail.com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4.xml"/><Relationship Id="rId4" Type="http://schemas.openxmlformats.org/officeDocument/2006/relationships/hyperlink" Target="mailto:j.a@gmail.co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K56"/>
  <sheetViews>
    <sheetView workbookViewId="0">
      <selection activeCell="A28" sqref="A28"/>
    </sheetView>
  </sheetViews>
  <sheetFormatPr defaultRowHeight="15" x14ac:dyDescent="0.25"/>
  <cols>
    <col min="1" max="1" width="15.42578125" customWidth="1"/>
    <col min="2" max="2" width="8.5703125" customWidth="1"/>
    <col min="3" max="3" width="13.140625" bestFit="1" customWidth="1"/>
  </cols>
  <sheetData>
    <row r="1" spans="1:11" x14ac:dyDescent="0.25">
      <c r="A1" s="5" t="s">
        <v>34</v>
      </c>
      <c r="B1" s="5"/>
      <c r="C1" s="5"/>
      <c r="D1" s="5"/>
      <c r="E1" s="5"/>
      <c r="F1" s="5"/>
      <c r="G1" s="5"/>
      <c r="H1" s="5"/>
    </row>
    <row r="2" spans="1:11" x14ac:dyDescent="0.25">
      <c r="A2" s="5"/>
      <c r="C2" s="5"/>
      <c r="D2" s="5"/>
      <c r="E2" s="5"/>
      <c r="F2" s="5"/>
      <c r="G2" s="5"/>
      <c r="H2" s="5"/>
    </row>
    <row r="3" spans="1:11" x14ac:dyDescent="0.25">
      <c r="A3" s="5" t="s">
        <v>34</v>
      </c>
      <c r="B3" s="11"/>
      <c r="C3" s="5"/>
      <c r="D3" s="5"/>
      <c r="E3" s="5"/>
      <c r="F3" s="5"/>
      <c r="G3" s="5"/>
      <c r="H3" s="5"/>
    </row>
    <row r="4" spans="1:11" x14ac:dyDescent="0.25">
      <c r="B4" s="5"/>
      <c r="C4" s="5"/>
      <c r="D4" s="5"/>
      <c r="E4" s="5"/>
      <c r="F4" s="5"/>
      <c r="G4" s="5"/>
      <c r="H4" s="5"/>
    </row>
    <row r="5" spans="1:11" x14ac:dyDescent="0.25">
      <c r="A5" s="5"/>
      <c r="B5" s="5"/>
      <c r="C5" s="5"/>
      <c r="D5" s="5"/>
      <c r="E5" s="5"/>
      <c r="F5" s="5"/>
      <c r="G5" s="5"/>
      <c r="H5" s="5"/>
      <c r="I5" s="5"/>
      <c r="J5" s="5"/>
    </row>
    <row r="6" spans="1:11" x14ac:dyDescent="0.25">
      <c r="B6" s="5"/>
      <c r="C6" s="5"/>
      <c r="D6" s="5"/>
      <c r="E6" s="5"/>
      <c r="F6" s="5"/>
      <c r="G6" s="5"/>
      <c r="H6" s="5"/>
      <c r="I6" s="5"/>
    </row>
    <row r="7" spans="1:11" x14ac:dyDescent="0.25">
      <c r="A7" s="5"/>
      <c r="C7" s="5"/>
      <c r="D7" s="5"/>
      <c r="E7" s="5"/>
      <c r="F7" s="5"/>
      <c r="G7" s="5"/>
      <c r="H7" s="5"/>
      <c r="I7" s="5"/>
      <c r="J7" s="5"/>
    </row>
    <row r="8" spans="1:11" x14ac:dyDescent="0.25">
      <c r="A8" s="5"/>
      <c r="B8" s="5"/>
      <c r="C8" s="5"/>
      <c r="D8" s="5"/>
      <c r="E8" s="5"/>
      <c r="F8" s="5"/>
      <c r="G8" s="5"/>
      <c r="H8" s="5"/>
      <c r="J8" s="5"/>
    </row>
    <row r="9" spans="1:11" x14ac:dyDescent="0.25">
      <c r="C9" s="5"/>
      <c r="D9" s="5"/>
      <c r="E9" s="5"/>
      <c r="F9" s="5"/>
      <c r="G9" s="5"/>
      <c r="H9" s="10"/>
      <c r="I9" s="5"/>
    </row>
    <row r="10" spans="1:11" x14ac:dyDescent="0.25">
      <c r="C10" s="5"/>
      <c r="D10" s="5"/>
      <c r="E10" s="5"/>
      <c r="F10" s="5"/>
      <c r="G10" s="5"/>
      <c r="H10" s="5"/>
    </row>
    <row r="11" spans="1:11" x14ac:dyDescent="0.25">
      <c r="B11" s="5"/>
      <c r="C11" s="5"/>
      <c r="D11" s="5"/>
      <c r="E11" s="5"/>
      <c r="F11" s="5"/>
      <c r="G11" s="5"/>
      <c r="H11" s="5"/>
    </row>
    <row r="12" spans="1:11" x14ac:dyDescent="0.25">
      <c r="B12" s="5"/>
      <c r="C12" s="5"/>
      <c r="D12" s="5"/>
      <c r="E12" s="5"/>
      <c r="F12" s="5"/>
      <c r="G12" s="5"/>
      <c r="H12" s="5"/>
      <c r="J12" s="5"/>
    </row>
    <row r="13" spans="1:11" x14ac:dyDescent="0.25">
      <c r="A13" s="5"/>
      <c r="B13" s="5"/>
      <c r="C13" s="5"/>
      <c r="D13" s="5"/>
      <c r="E13" s="5"/>
      <c r="F13" s="5"/>
      <c r="G13" s="5"/>
      <c r="H13" s="5"/>
      <c r="K13" s="5"/>
    </row>
    <row r="14" spans="1:11" x14ac:dyDescent="0.25">
      <c r="A14" s="5"/>
      <c r="C14" s="5"/>
      <c r="D14" s="5"/>
      <c r="E14" s="5"/>
      <c r="F14" s="5"/>
      <c r="G14" s="5"/>
      <c r="H14" s="5"/>
      <c r="I14" s="5"/>
    </row>
    <row r="15" spans="1:11" x14ac:dyDescent="0.25">
      <c r="B15" s="5"/>
      <c r="C15" s="5"/>
      <c r="D15" s="5">
        <v>5</v>
      </c>
      <c r="E15" s="5"/>
      <c r="F15" s="5"/>
      <c r="G15" s="5"/>
      <c r="H15" s="5"/>
      <c r="I15" s="5"/>
      <c r="J15" s="5"/>
    </row>
    <row r="16" spans="1:11" x14ac:dyDescent="0.25">
      <c r="B16" s="5"/>
      <c r="C16" s="5"/>
      <c r="D16" s="5"/>
      <c r="E16" s="5"/>
      <c r="F16" s="5"/>
      <c r="G16" s="5"/>
      <c r="H16" s="5"/>
    </row>
    <row r="17" spans="1:10" x14ac:dyDescent="0.25">
      <c r="B17" s="5"/>
      <c r="C17" s="5"/>
      <c r="D17" s="5">
        <v>2</v>
      </c>
      <c r="E17" s="5"/>
      <c r="F17" s="5"/>
      <c r="G17" s="5"/>
      <c r="H17" s="5"/>
    </row>
    <row r="18" spans="1:10" x14ac:dyDescent="0.25">
      <c r="B18" s="5"/>
      <c r="C18" s="5"/>
      <c r="D18" s="5">
        <v>-3</v>
      </c>
      <c r="E18" s="5"/>
      <c r="F18" s="5"/>
      <c r="G18" s="5"/>
      <c r="H18" s="5"/>
    </row>
    <row r="19" spans="1:10" x14ac:dyDescent="0.25">
      <c r="B19" s="5"/>
      <c r="C19" s="5"/>
      <c r="D19" s="5"/>
      <c r="E19" s="5"/>
      <c r="F19" s="5"/>
      <c r="G19" s="5"/>
      <c r="H19" s="5"/>
      <c r="J19" s="5"/>
    </row>
    <row r="20" spans="1:10" x14ac:dyDescent="0.25">
      <c r="B20" s="5"/>
      <c r="C20" s="5"/>
      <c r="D20" s="5"/>
      <c r="E20" s="5"/>
      <c r="F20" s="5"/>
      <c r="G20" s="5"/>
      <c r="H20" s="5"/>
      <c r="I20" s="5"/>
      <c r="J20" s="5"/>
    </row>
    <row r="21" spans="1:10" x14ac:dyDescent="0.25">
      <c r="C21" s="5"/>
      <c r="D21" s="5"/>
      <c r="E21" s="5"/>
      <c r="F21" s="5"/>
      <c r="G21" s="5"/>
      <c r="H21" s="5"/>
      <c r="J21" s="5"/>
    </row>
    <row r="22" spans="1:10" x14ac:dyDescent="0.25">
      <c r="B22" s="5"/>
      <c r="C22" s="5"/>
      <c r="D22" s="5"/>
      <c r="E22" s="5"/>
      <c r="F22" s="5"/>
      <c r="G22" s="5"/>
      <c r="H22" s="5"/>
    </row>
    <row r="23" spans="1:10" x14ac:dyDescent="0.25">
      <c r="A23" s="5"/>
      <c r="C23" s="5"/>
      <c r="D23" s="5"/>
      <c r="E23" s="5"/>
      <c r="F23" s="5"/>
      <c r="G23" s="5"/>
      <c r="H23" s="5"/>
    </row>
    <row r="24" spans="1:10" x14ac:dyDescent="0.25">
      <c r="C24" s="5"/>
      <c r="D24" s="5"/>
      <c r="E24" s="5"/>
      <c r="F24" s="5"/>
      <c r="G24" s="5"/>
      <c r="H24" s="5"/>
    </row>
    <row r="25" spans="1:10" x14ac:dyDescent="0.25">
      <c r="C25" s="5"/>
      <c r="D25" s="5"/>
      <c r="E25" s="5"/>
      <c r="F25" s="5"/>
      <c r="G25" s="5"/>
      <c r="H25" s="5"/>
    </row>
    <row r="26" spans="1:10" x14ac:dyDescent="0.25">
      <c r="D26" s="5"/>
      <c r="E26" s="5"/>
      <c r="F26" s="5"/>
      <c r="G26" s="5"/>
      <c r="H26" s="5"/>
    </row>
    <row r="27" spans="1:10" x14ac:dyDescent="0.25">
      <c r="D27" s="5"/>
      <c r="E27" s="5"/>
      <c r="F27" s="5"/>
      <c r="G27" s="5"/>
      <c r="H27" s="5"/>
    </row>
    <row r="28" spans="1:10" x14ac:dyDescent="0.25">
      <c r="D28" s="5"/>
      <c r="E28" s="5"/>
      <c r="F28" s="5"/>
      <c r="G28" s="5"/>
      <c r="H28" s="5"/>
    </row>
    <row r="29" spans="1:10" x14ac:dyDescent="0.25">
      <c r="D29" s="5"/>
      <c r="E29" s="5"/>
      <c r="F29" s="5"/>
      <c r="G29" s="5"/>
      <c r="H29" s="5"/>
    </row>
    <row r="30" spans="1:10" x14ac:dyDescent="0.25">
      <c r="C30" s="5"/>
      <c r="F30" s="5"/>
      <c r="G30" s="5"/>
      <c r="H30" s="5"/>
    </row>
    <row r="31" spans="1:10" x14ac:dyDescent="0.25">
      <c r="F31" s="5"/>
      <c r="G31" s="5"/>
      <c r="H31" s="5"/>
    </row>
    <row r="32" spans="1:10" x14ac:dyDescent="0.25">
      <c r="C32" s="5"/>
      <c r="F32" s="5"/>
      <c r="G32" s="5"/>
      <c r="H32" s="5"/>
    </row>
    <row r="35" spans="7:8" x14ac:dyDescent="0.25">
      <c r="G35" s="5"/>
    </row>
    <row r="41" spans="7:8" x14ac:dyDescent="0.25">
      <c r="H41" s="5"/>
    </row>
    <row r="51" spans="2:3" x14ac:dyDescent="0.25">
      <c r="C51" s="5"/>
    </row>
    <row r="56" spans="2:3" x14ac:dyDescent="0.25">
      <c r="B56" s="5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63E55-EB84-4D6A-9A94-5DC509D293D0}">
  <sheetPr codeName="Лист2"/>
  <dimension ref="A1:I39"/>
  <sheetViews>
    <sheetView workbookViewId="0">
      <selection activeCell="G10" sqref="G10"/>
    </sheetView>
  </sheetViews>
  <sheetFormatPr defaultRowHeight="15" x14ac:dyDescent="0.25"/>
  <sheetData>
    <row r="1" spans="1:9" x14ac:dyDescent="0.25">
      <c r="D1" s="5"/>
    </row>
    <row r="2" spans="1:9" x14ac:dyDescent="0.25">
      <c r="D2" s="5"/>
    </row>
    <row r="3" spans="1:9" x14ac:dyDescent="0.25">
      <c r="D3" s="5"/>
    </row>
    <row r="4" spans="1:9" x14ac:dyDescent="0.25">
      <c r="A4" s="5"/>
      <c r="B4" s="5"/>
      <c r="C4" s="5"/>
      <c r="D4" s="5"/>
    </row>
    <row r="5" spans="1:9" x14ac:dyDescent="0.25">
      <c r="A5" s="5"/>
      <c r="B5" s="5"/>
      <c r="C5" s="5"/>
      <c r="D5" s="5"/>
    </row>
    <row r="6" spans="1:9" x14ac:dyDescent="0.25">
      <c r="A6" s="5"/>
      <c r="B6" s="5"/>
      <c r="C6" s="5"/>
      <c r="D6" s="5"/>
      <c r="F6" s="5"/>
    </row>
    <row r="7" spans="1:9" x14ac:dyDescent="0.25">
      <c r="A7" s="5"/>
      <c r="B7" s="5"/>
      <c r="C7" s="5"/>
      <c r="D7" s="5"/>
      <c r="E7" s="5"/>
    </row>
    <row r="8" spans="1:9" x14ac:dyDescent="0.25">
      <c r="A8" s="5"/>
      <c r="B8" s="5"/>
      <c r="C8" s="5"/>
      <c r="D8" s="5"/>
      <c r="F8" s="5"/>
    </row>
    <row r="9" spans="1:9" x14ac:dyDescent="0.25">
      <c r="E9" s="5"/>
      <c r="G9" s="6"/>
      <c r="H9" s="7"/>
      <c r="I9" s="7"/>
    </row>
    <row r="10" spans="1:9" x14ac:dyDescent="0.25">
      <c r="C10" s="5"/>
      <c r="G10" s="7"/>
      <c r="H10" s="7"/>
      <c r="I10" s="7"/>
    </row>
    <row r="11" spans="1:9" x14ac:dyDescent="0.25">
      <c r="D11" s="5"/>
      <c r="G11" s="8"/>
      <c r="H11" s="9"/>
      <c r="I11" s="7"/>
    </row>
    <row r="18" spans="4:6" x14ac:dyDescent="0.25">
      <c r="E18" s="5"/>
    </row>
    <row r="20" spans="4:6" x14ac:dyDescent="0.25">
      <c r="F20" s="5"/>
    </row>
    <row r="27" spans="4:6" x14ac:dyDescent="0.25">
      <c r="D27" s="5"/>
    </row>
    <row r="39" spans="6:6" x14ac:dyDescent="0.25">
      <c r="F39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D973D-AEDA-460B-9495-BF015F311762}">
  <sheetPr codeName="Лист3"/>
  <dimension ref="C1:I48"/>
  <sheetViews>
    <sheetView workbookViewId="0">
      <selection activeCell="M39" sqref="M39"/>
    </sheetView>
  </sheetViews>
  <sheetFormatPr defaultRowHeight="15" x14ac:dyDescent="0.25"/>
  <cols>
    <col min="1" max="16384" width="9.140625" style="5"/>
  </cols>
  <sheetData>
    <row r="1" spans="9:9" x14ac:dyDescent="0.25">
      <c r="I1" s="5">
        <v>1</v>
      </c>
    </row>
    <row r="2" spans="9:9" x14ac:dyDescent="0.25">
      <c r="I2" s="5">
        <v>2</v>
      </c>
    </row>
    <row r="3" spans="9:9" x14ac:dyDescent="0.25">
      <c r="I3" s="5">
        <v>3</v>
      </c>
    </row>
    <row r="4" spans="9:9" x14ac:dyDescent="0.25">
      <c r="I4" s="5">
        <v>4</v>
      </c>
    </row>
    <row r="5" spans="9:9" x14ac:dyDescent="0.25">
      <c r="I5" s="5">
        <v>5</v>
      </c>
    </row>
    <row r="6" spans="9:9" x14ac:dyDescent="0.25">
      <c r="I6" s="5">
        <v>6</v>
      </c>
    </row>
    <row r="7" spans="9:9" x14ac:dyDescent="0.25">
      <c r="I7" s="5">
        <v>7</v>
      </c>
    </row>
    <row r="8" spans="9:9" x14ac:dyDescent="0.25">
      <c r="I8" s="5">
        <v>8</v>
      </c>
    </row>
    <row r="9" spans="9:9" x14ac:dyDescent="0.25">
      <c r="I9" s="5">
        <v>9</v>
      </c>
    </row>
    <row r="10" spans="9:9" x14ac:dyDescent="0.25">
      <c r="I10" s="5" t="s">
        <v>8</v>
      </c>
    </row>
    <row r="25" spans="3:6" x14ac:dyDescent="0.25">
      <c r="C25" s="7">
        <v>25</v>
      </c>
      <c r="D25" s="7">
        <v>19</v>
      </c>
      <c r="E25" s="36">
        <v>17</v>
      </c>
      <c r="F25" s="7">
        <v>19</v>
      </c>
    </row>
    <row r="26" spans="3:6" x14ac:dyDescent="0.25">
      <c r="C26" s="7">
        <v>26</v>
      </c>
      <c r="D26" s="7">
        <v>21</v>
      </c>
      <c r="E26" s="36">
        <v>18</v>
      </c>
      <c r="F26" s="7">
        <v>21</v>
      </c>
    </row>
    <row r="27" spans="3:6" x14ac:dyDescent="0.25">
      <c r="C27" s="7">
        <v>27</v>
      </c>
      <c r="D27" s="7">
        <v>24</v>
      </c>
      <c r="E27" s="36">
        <v>19</v>
      </c>
      <c r="F27" s="7">
        <v>23</v>
      </c>
    </row>
    <row r="28" spans="3:6" x14ac:dyDescent="0.25">
      <c r="C28" s="7">
        <v>28</v>
      </c>
      <c r="D28" s="7">
        <v>25</v>
      </c>
      <c r="E28" s="36">
        <v>20</v>
      </c>
      <c r="F28" s="7">
        <v>25</v>
      </c>
    </row>
    <row r="29" spans="3:6" x14ac:dyDescent="0.25">
      <c r="C29" s="7">
        <v>29</v>
      </c>
      <c r="D29" s="7"/>
      <c r="E29" s="36">
        <v>21</v>
      </c>
      <c r="F29" s="7">
        <v>27</v>
      </c>
    </row>
    <row r="30" spans="3:6" x14ac:dyDescent="0.25">
      <c r="C30" s="7">
        <v>30</v>
      </c>
      <c r="D30" s="7">
        <v>26</v>
      </c>
      <c r="E30" s="36">
        <v>22</v>
      </c>
      <c r="F30" s="7">
        <v>29</v>
      </c>
    </row>
    <row r="31" spans="3:6" x14ac:dyDescent="0.25">
      <c r="C31" s="7">
        <v>31</v>
      </c>
      <c r="D31" s="7"/>
      <c r="E31" s="36">
        <v>23</v>
      </c>
      <c r="F31" s="7">
        <v>31</v>
      </c>
    </row>
    <row r="32" spans="3:6" x14ac:dyDescent="0.25">
      <c r="C32" s="7">
        <v>1</v>
      </c>
      <c r="D32" s="7"/>
      <c r="E32" s="36">
        <v>24</v>
      </c>
      <c r="F32" s="7">
        <v>33</v>
      </c>
    </row>
    <row r="33" spans="3:6" x14ac:dyDescent="0.25">
      <c r="C33" s="7">
        <v>2</v>
      </c>
      <c r="D33" s="7">
        <v>27</v>
      </c>
      <c r="E33" s="36">
        <v>25</v>
      </c>
      <c r="F33" s="7">
        <v>35</v>
      </c>
    </row>
    <row r="34" spans="3:6" x14ac:dyDescent="0.25">
      <c r="C34" s="7">
        <v>3</v>
      </c>
      <c r="D34" s="7"/>
      <c r="E34" s="36">
        <v>26</v>
      </c>
      <c r="F34" s="7">
        <v>37</v>
      </c>
    </row>
    <row r="35" spans="3:6" x14ac:dyDescent="0.25">
      <c r="C35" s="7">
        <v>4</v>
      </c>
      <c r="D35" s="7"/>
      <c r="E35" s="36">
        <v>27</v>
      </c>
      <c r="F35" s="7">
        <v>39</v>
      </c>
    </row>
    <row r="36" spans="3:6" x14ac:dyDescent="0.25">
      <c r="C36" s="7">
        <v>5</v>
      </c>
      <c r="D36" s="7"/>
      <c r="E36" s="7">
        <v>28</v>
      </c>
      <c r="F36" s="7"/>
    </row>
    <row r="37" spans="3:6" x14ac:dyDescent="0.25">
      <c r="C37" s="7">
        <v>6</v>
      </c>
      <c r="D37" s="7"/>
      <c r="E37" s="7">
        <v>29</v>
      </c>
      <c r="F37" s="7"/>
    </row>
    <row r="38" spans="3:6" x14ac:dyDescent="0.25">
      <c r="C38" s="7">
        <v>7</v>
      </c>
      <c r="D38" s="7"/>
      <c r="E38" s="7">
        <v>30</v>
      </c>
      <c r="F38" s="7"/>
    </row>
    <row r="39" spans="3:6" x14ac:dyDescent="0.25">
      <c r="C39" s="7">
        <v>8</v>
      </c>
      <c r="D39" s="7"/>
      <c r="E39" s="7">
        <v>31</v>
      </c>
      <c r="F39" s="7"/>
    </row>
    <row r="40" spans="3:6" x14ac:dyDescent="0.25">
      <c r="C40" s="7">
        <v>9</v>
      </c>
      <c r="D40" s="7"/>
      <c r="E40" s="7">
        <v>32</v>
      </c>
      <c r="F40" s="7"/>
    </row>
    <row r="41" spans="3:6" x14ac:dyDescent="0.25">
      <c r="C41" s="7">
        <v>10</v>
      </c>
      <c r="D41" s="7"/>
      <c r="E41" s="7">
        <v>33</v>
      </c>
      <c r="F41" s="7"/>
    </row>
    <row r="42" spans="3:6" x14ac:dyDescent="0.25">
      <c r="C42" s="7">
        <v>11</v>
      </c>
      <c r="D42" s="7"/>
      <c r="E42" s="7">
        <v>34</v>
      </c>
      <c r="F42" s="7"/>
    </row>
    <row r="43" spans="3:6" x14ac:dyDescent="0.25">
      <c r="C43" s="7">
        <v>12</v>
      </c>
      <c r="D43" s="7"/>
      <c r="E43" s="7">
        <v>35</v>
      </c>
      <c r="F43" s="7"/>
    </row>
    <row r="44" spans="3:6" x14ac:dyDescent="0.25">
      <c r="C44" s="7">
        <v>13</v>
      </c>
      <c r="D44" s="7"/>
      <c r="E44" s="7">
        <v>36</v>
      </c>
      <c r="F44" s="7"/>
    </row>
    <row r="45" spans="3:6" x14ac:dyDescent="0.25">
      <c r="C45" s="7">
        <v>14</v>
      </c>
      <c r="D45" s="7"/>
      <c r="E45" s="7">
        <v>37</v>
      </c>
      <c r="F45" s="7"/>
    </row>
    <row r="46" spans="3:6" x14ac:dyDescent="0.25">
      <c r="C46" s="7">
        <v>15</v>
      </c>
      <c r="D46" s="7"/>
      <c r="E46" s="7">
        <v>38</v>
      </c>
      <c r="F46" s="7"/>
    </row>
    <row r="47" spans="3:6" x14ac:dyDescent="0.25">
      <c r="C47" s="7">
        <v>16</v>
      </c>
      <c r="D47" s="7"/>
      <c r="E47" s="7">
        <v>39</v>
      </c>
      <c r="F47" s="7"/>
    </row>
    <row r="48" spans="3:6" x14ac:dyDescent="0.25">
      <c r="C48" s="7">
        <v>17</v>
      </c>
      <c r="D48" s="7"/>
      <c r="E48" s="7">
        <v>40</v>
      </c>
      <c r="F4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BE2E-4B03-4926-9A56-F2E87F14C6EC}">
  <sheetPr codeName="Лист5"/>
  <dimension ref="A1"/>
  <sheetViews>
    <sheetView workbookViewId="0">
      <selection activeCell="F6" sqref="F6"/>
    </sheetView>
  </sheetViews>
  <sheetFormatPr defaultRowHeight="15" x14ac:dyDescent="0.25"/>
  <cols>
    <col min="1" max="16384" width="9.140625" style="5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DF268-A4CA-4A67-8756-1D9E4897DF12}">
  <sheetPr codeName="Лист4"/>
  <dimension ref="A1:H9"/>
  <sheetViews>
    <sheetView workbookViewId="0">
      <selection activeCell="I8" sqref="I8"/>
    </sheetView>
  </sheetViews>
  <sheetFormatPr defaultRowHeight="15" x14ac:dyDescent="0.25"/>
  <sheetData>
    <row r="1" spans="1:8" x14ac:dyDescent="0.25">
      <c r="A1" s="4" t="s">
        <v>4</v>
      </c>
      <c r="B1">
        <v>4</v>
      </c>
      <c r="C1" t="s">
        <v>2</v>
      </c>
    </row>
    <row r="2" spans="1:8" x14ac:dyDescent="0.25">
      <c r="A2" t="s">
        <v>5</v>
      </c>
      <c r="B2">
        <v>5</v>
      </c>
      <c r="C2" t="s">
        <v>3</v>
      </c>
    </row>
    <row r="3" spans="1:8" x14ac:dyDescent="0.25">
      <c r="A3" s="1" t="s">
        <v>6</v>
      </c>
      <c r="B3" s="2">
        <v>3</v>
      </c>
      <c r="C3" t="s">
        <v>7</v>
      </c>
    </row>
    <row r="4" spans="1:8" x14ac:dyDescent="0.25">
      <c r="A4" t="s">
        <v>0</v>
      </c>
      <c r="B4">
        <v>4</v>
      </c>
      <c r="C4" t="s">
        <v>2</v>
      </c>
    </row>
    <row r="5" spans="1:8" x14ac:dyDescent="0.25">
      <c r="A5" t="s">
        <v>1</v>
      </c>
      <c r="B5">
        <v>5</v>
      </c>
      <c r="C5" t="s">
        <v>3</v>
      </c>
    </row>
    <row r="9" spans="1:8" x14ac:dyDescent="0.25">
      <c r="H9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rok12_3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4B675-C99F-4251-BF12-9B51CFE9A0C0}">
  <sheetPr codeName="Лист6"/>
  <dimension ref="A1:P51"/>
  <sheetViews>
    <sheetView workbookViewId="0">
      <selection activeCell="F15" sqref="F15"/>
    </sheetView>
  </sheetViews>
  <sheetFormatPr defaultRowHeight="15" x14ac:dyDescent="0.25"/>
  <cols>
    <col min="2" max="2" width="17.5703125" customWidth="1"/>
    <col min="3" max="3" width="16.85546875" customWidth="1"/>
    <col min="4" max="4" width="22.5703125" customWidth="1"/>
    <col min="5" max="6" width="20.7109375" style="5" customWidth="1"/>
    <col min="7" max="7" width="7" style="5" customWidth="1"/>
    <col min="8" max="8" width="7.5703125" customWidth="1"/>
    <col min="9" max="9" width="15.28515625" customWidth="1"/>
    <col min="10" max="10" width="13.85546875" customWidth="1"/>
    <col min="11" max="11" width="14.28515625" customWidth="1"/>
    <col min="12" max="12" width="7.42578125" customWidth="1"/>
    <col min="13" max="13" width="12" customWidth="1"/>
    <col min="14" max="14" width="11.28515625" customWidth="1"/>
  </cols>
  <sheetData>
    <row r="1" spans="1:16" x14ac:dyDescent="0.25">
      <c r="J1" s="5"/>
    </row>
    <row r="2" spans="1:16" x14ac:dyDescent="0.25">
      <c r="H2" s="5"/>
    </row>
    <row r="3" spans="1:16" x14ac:dyDescent="0.25">
      <c r="C3" s="5"/>
      <c r="J3" s="5"/>
    </row>
    <row r="4" spans="1:16" ht="32.25" customHeight="1" x14ac:dyDescent="0.25">
      <c r="A4" s="18" t="s">
        <v>9</v>
      </c>
      <c r="B4" s="18" t="s">
        <v>10</v>
      </c>
      <c r="C4" s="18" t="s">
        <v>19</v>
      </c>
      <c r="D4" s="29" t="s">
        <v>11</v>
      </c>
      <c r="E4" s="18" t="s">
        <v>12</v>
      </c>
      <c r="F4" s="26"/>
      <c r="G4" s="19" t="s">
        <v>20</v>
      </c>
      <c r="H4" s="19" t="s">
        <v>21</v>
      </c>
      <c r="I4" s="19" t="s">
        <v>22</v>
      </c>
      <c r="J4" s="19" t="s">
        <v>23</v>
      </c>
      <c r="K4" s="18" t="s">
        <v>30</v>
      </c>
    </row>
    <row r="5" spans="1:16" x14ac:dyDescent="0.25">
      <c r="A5" s="7" t="s">
        <v>18</v>
      </c>
      <c r="B5" s="13">
        <v>19520</v>
      </c>
      <c r="C5" s="13">
        <v>805752</v>
      </c>
      <c r="D5" s="30">
        <v>15728279040</v>
      </c>
      <c r="E5" s="13">
        <f t="shared" ref="E5:E10" si="0">Revenue(B5,C5)</f>
        <v>15728279040</v>
      </c>
      <c r="F5" s="27"/>
      <c r="G5" s="17">
        <f>C5/SUM($C$5:$C$10)</f>
        <v>0.58854697371102505</v>
      </c>
      <c r="H5" s="17">
        <f>D5/SUM($D$5:$D$10)</f>
        <v>0.57263972869651014</v>
      </c>
      <c r="I5" s="20">
        <f>G5</f>
        <v>0.58854697371102505</v>
      </c>
      <c r="J5" s="17">
        <f>H5</f>
        <v>0.57263972869651014</v>
      </c>
      <c r="K5" s="35" t="str">
        <f>ABC_Analysis($E$5:$E$10,E5)</f>
        <v>A</v>
      </c>
      <c r="L5" s="5"/>
    </row>
    <row r="6" spans="1:16" x14ac:dyDescent="0.25">
      <c r="A6" s="7" t="s">
        <v>14</v>
      </c>
      <c r="B6" s="13">
        <v>27490</v>
      </c>
      <c r="C6" s="13">
        <v>166034</v>
      </c>
      <c r="D6" s="30">
        <v>4564274660</v>
      </c>
      <c r="E6" s="13">
        <f t="shared" si="0"/>
        <v>4564274660</v>
      </c>
      <c r="F6" s="27"/>
      <c r="G6" s="17">
        <f t="shared" ref="G6:G10" si="1">C6/SUM($C$5:$C$10)</f>
        <v>0.12127653202615238</v>
      </c>
      <c r="H6" s="17">
        <f t="shared" ref="H6:H10" si="2">D6/SUM($D$5:$D$10)</f>
        <v>0.16617743087795295</v>
      </c>
      <c r="I6" s="20">
        <f>G6+I5</f>
        <v>0.70982350573717745</v>
      </c>
      <c r="J6" s="17">
        <f>H6+J5</f>
        <v>0.73881715957446303</v>
      </c>
      <c r="K6" s="35" t="str">
        <f t="shared" ref="K6:K10" si="3">ABC_Analysis($E$5:$E$10,E6)</f>
        <v>A</v>
      </c>
      <c r="L6" s="5"/>
      <c r="P6" s="5"/>
    </row>
    <row r="7" spans="1:16" x14ac:dyDescent="0.25">
      <c r="A7" s="7" t="s">
        <v>16</v>
      </c>
      <c r="B7" s="13">
        <v>14430</v>
      </c>
      <c r="C7" s="13">
        <v>269390</v>
      </c>
      <c r="D7" s="30">
        <v>3887297700</v>
      </c>
      <c r="E7" s="13">
        <f t="shared" si="0"/>
        <v>3887297700</v>
      </c>
      <c r="F7" s="27"/>
      <c r="G7" s="17">
        <f t="shared" si="1"/>
        <v>0.19677105269116682</v>
      </c>
      <c r="H7" s="17">
        <f t="shared" si="2"/>
        <v>0.14152985807470567</v>
      </c>
      <c r="I7" s="20">
        <f t="shared" ref="I7:I10" si="4">G7+I6</f>
        <v>0.90659455842834424</v>
      </c>
      <c r="J7" s="17">
        <f t="shared" ref="J7:J10" si="5">H7+J6</f>
        <v>0.88034701764916867</v>
      </c>
      <c r="K7" s="35" t="str">
        <f t="shared" si="3"/>
        <v>B</v>
      </c>
      <c r="L7" s="5"/>
    </row>
    <row r="8" spans="1:16" x14ac:dyDescent="0.25">
      <c r="A8" s="7" t="s">
        <v>13</v>
      </c>
      <c r="B8" s="13">
        <v>42440</v>
      </c>
      <c r="C8" s="13">
        <v>49735</v>
      </c>
      <c r="D8" s="30">
        <v>2110753400</v>
      </c>
      <c r="E8" s="13">
        <f t="shared" si="0"/>
        <v>2110753400</v>
      </c>
      <c r="F8" s="27"/>
      <c r="G8" s="17">
        <f t="shared" si="1"/>
        <v>3.6328031128086351E-2</v>
      </c>
      <c r="H8" s="17">
        <f t="shared" si="2"/>
        <v>7.6848919786283013E-2</v>
      </c>
      <c r="I8" s="20">
        <f t="shared" si="4"/>
        <v>0.9429225895564306</v>
      </c>
      <c r="J8" s="17">
        <f t="shared" si="5"/>
        <v>0.95719593743545173</v>
      </c>
      <c r="K8" s="35" t="str">
        <f t="shared" si="3"/>
        <v>C</v>
      </c>
    </row>
    <row r="9" spans="1:16" x14ac:dyDescent="0.25">
      <c r="A9" s="7" t="s">
        <v>15</v>
      </c>
      <c r="B9" s="13">
        <v>18627</v>
      </c>
      <c r="C9" s="13">
        <v>37546</v>
      </c>
      <c r="D9" s="31">
        <v>704957442</v>
      </c>
      <c r="E9" s="13">
        <f t="shared" si="0"/>
        <v>699369342</v>
      </c>
      <c r="F9" s="27"/>
      <c r="G9" s="17">
        <f t="shared" si="1"/>
        <v>2.7424796556451796E-2</v>
      </c>
      <c r="H9" s="17">
        <f t="shared" si="2"/>
        <v>2.5666294278147917E-2</v>
      </c>
      <c r="I9" s="20">
        <f t="shared" si="4"/>
        <v>0.9703473861128824</v>
      </c>
      <c r="J9" s="17">
        <f t="shared" si="5"/>
        <v>0.98286223171359965</v>
      </c>
      <c r="K9" s="35" t="str">
        <f t="shared" si="3"/>
        <v>C</v>
      </c>
    </row>
    <row r="10" spans="1:16" x14ac:dyDescent="0.25">
      <c r="A10" s="7" t="s">
        <v>17</v>
      </c>
      <c r="B10" s="13">
        <v>11595</v>
      </c>
      <c r="C10" s="13">
        <v>40596</v>
      </c>
      <c r="D10" s="30">
        <v>470710620</v>
      </c>
      <c r="E10" s="13">
        <f t="shared" si="0"/>
        <v>470710620</v>
      </c>
      <c r="F10" s="27"/>
      <c r="G10" s="17">
        <f t="shared" si="1"/>
        <v>2.9652613887117592E-2</v>
      </c>
      <c r="H10" s="17">
        <f t="shared" si="2"/>
        <v>1.7137768286400269E-2</v>
      </c>
      <c r="I10" s="20">
        <f t="shared" si="4"/>
        <v>1</v>
      </c>
      <c r="J10" s="17">
        <f t="shared" si="5"/>
        <v>0.99999999999999989</v>
      </c>
      <c r="K10" s="35" t="str">
        <f t="shared" si="3"/>
        <v>C</v>
      </c>
      <c r="M10" s="5"/>
      <c r="O10" s="5"/>
    </row>
    <row r="11" spans="1:16" x14ac:dyDescent="0.25">
      <c r="A11" s="14"/>
      <c r="B11" s="15">
        <f>SUM(B5:B10)</f>
        <v>134102</v>
      </c>
      <c r="C11" s="15">
        <f>SUM(C5:C10)</f>
        <v>1369053</v>
      </c>
      <c r="D11" s="15">
        <f>SUM(D5:D10)</f>
        <v>27466272862</v>
      </c>
      <c r="E11" s="16">
        <f>SUM(E5:E10)</f>
        <v>27460684762</v>
      </c>
      <c r="F11" s="28"/>
      <c r="H11" s="5"/>
      <c r="I11" s="5"/>
      <c r="J11" s="5"/>
      <c r="K11" s="5"/>
      <c r="L11" s="5"/>
      <c r="M11" s="5"/>
      <c r="N11" s="23"/>
    </row>
    <row r="12" spans="1:16" x14ac:dyDescent="0.25">
      <c r="A12" s="5"/>
      <c r="B12" s="5"/>
      <c r="C12" s="5"/>
      <c r="D12" s="5"/>
      <c r="I12" s="5"/>
      <c r="J12" s="5"/>
      <c r="K12" s="5"/>
      <c r="L12" s="5"/>
      <c r="M12" s="5"/>
      <c r="N12" s="5"/>
    </row>
    <row r="13" spans="1:16" x14ac:dyDescent="0.25">
      <c r="A13" s="5"/>
      <c r="B13" s="5"/>
      <c r="C13" s="5"/>
      <c r="D13" s="5"/>
      <c r="H13" s="5"/>
      <c r="I13" s="5"/>
      <c r="J13" s="5"/>
      <c r="K13" s="5"/>
      <c r="L13" s="5"/>
      <c r="M13" s="5"/>
      <c r="N13" s="5"/>
    </row>
    <row r="14" spans="1:16" x14ac:dyDescent="0.25">
      <c r="B14" s="5"/>
      <c r="C14" s="5"/>
      <c r="D14" s="5"/>
      <c r="H14" s="5"/>
      <c r="I14" s="5"/>
      <c r="J14" s="5"/>
      <c r="K14" s="5"/>
      <c r="O14" s="5"/>
    </row>
    <row r="15" spans="1:16" x14ac:dyDescent="0.25">
      <c r="A15" s="5"/>
      <c r="B15" s="5"/>
      <c r="C15" s="5"/>
      <c r="H15" s="5"/>
      <c r="I15" s="5"/>
      <c r="J15" s="5"/>
      <c r="K15" s="5"/>
      <c r="M15" s="5"/>
      <c r="N15" s="5"/>
    </row>
    <row r="16" spans="1:16" x14ac:dyDescent="0.25">
      <c r="B16" s="5"/>
      <c r="D16" s="5"/>
      <c r="H16" s="5"/>
      <c r="I16" s="5"/>
      <c r="J16" s="5"/>
      <c r="K16" s="5"/>
      <c r="L16" s="5"/>
      <c r="M16" s="5"/>
      <c r="N16" s="5"/>
    </row>
    <row r="17" spans="1:15" x14ac:dyDescent="0.25">
      <c r="H17" s="5"/>
      <c r="I17" s="5"/>
      <c r="J17" s="5"/>
      <c r="K17" s="5"/>
      <c r="L17" s="5"/>
      <c r="M17" s="5"/>
      <c r="O17" s="5"/>
    </row>
    <row r="18" spans="1:15" ht="30" x14ac:dyDescent="0.25">
      <c r="A18" s="18" t="s">
        <v>9</v>
      </c>
      <c r="B18" s="18" t="s">
        <v>10</v>
      </c>
      <c r="C18" s="18" t="s">
        <v>19</v>
      </c>
      <c r="D18" s="18" t="s">
        <v>11</v>
      </c>
      <c r="G18" s="19" t="s">
        <v>20</v>
      </c>
      <c r="H18" s="19" t="s">
        <v>21</v>
      </c>
      <c r="I18" s="19" t="s">
        <v>22</v>
      </c>
      <c r="J18" s="19" t="s">
        <v>23</v>
      </c>
      <c r="K18" s="19" t="s">
        <v>30</v>
      </c>
      <c r="L18" s="5"/>
      <c r="M18" s="5"/>
      <c r="N18" s="5"/>
      <c r="O18" s="5"/>
    </row>
    <row r="19" spans="1:15" x14ac:dyDescent="0.25">
      <c r="A19" s="7" t="s">
        <v>18</v>
      </c>
      <c r="B19" s="13">
        <v>1200</v>
      </c>
      <c r="C19" s="13">
        <v>375</v>
      </c>
      <c r="D19" s="13">
        <f>Revenue(B19,C19)</f>
        <v>450000</v>
      </c>
      <c r="G19" s="17">
        <f t="shared" ref="G19:G27" si="6">C19/SUM($C$19:$C$27)</f>
        <v>8.0645161290322578E-2</v>
      </c>
      <c r="H19" s="17">
        <f t="shared" ref="H19:H27" si="7">D19/SUM($D$19:$D$27)</f>
        <v>0.30410542321338063</v>
      </c>
      <c r="I19" s="17">
        <f>G19</f>
        <v>8.0645161290322578E-2</v>
      </c>
      <c r="J19" s="17">
        <f>H19</f>
        <v>0.30410542321338063</v>
      </c>
      <c r="K19" s="24" t="str">
        <f t="shared" ref="K19:K27" si="8">ABC_Analysis($D$19:$D$27,D19)</f>
        <v>A</v>
      </c>
      <c r="L19" s="5"/>
      <c r="M19" s="5"/>
      <c r="N19" s="5"/>
    </row>
    <row r="20" spans="1:15" x14ac:dyDescent="0.25">
      <c r="A20" s="7" t="s">
        <v>14</v>
      </c>
      <c r="B20" s="13">
        <v>1450</v>
      </c>
      <c r="C20" s="13">
        <v>275</v>
      </c>
      <c r="D20" s="13">
        <f t="shared" ref="D20:D27" si="9">Revenue(B20,C20)</f>
        <v>398750</v>
      </c>
      <c r="G20" s="17">
        <f t="shared" si="6"/>
        <v>5.9139784946236562E-2</v>
      </c>
      <c r="H20" s="17">
        <f t="shared" si="7"/>
        <v>0.26947119445852341</v>
      </c>
      <c r="I20" s="20">
        <f>G20+I19</f>
        <v>0.13978494623655913</v>
      </c>
      <c r="J20" s="17">
        <f>H20+J19</f>
        <v>0.57357661767190404</v>
      </c>
      <c r="K20" s="24" t="str">
        <f t="shared" si="8"/>
        <v>A</v>
      </c>
      <c r="L20" s="5"/>
      <c r="M20" s="23"/>
      <c r="N20" s="25"/>
    </row>
    <row r="21" spans="1:15" x14ac:dyDescent="0.25">
      <c r="A21" s="7" t="s">
        <v>31</v>
      </c>
      <c r="B21" s="13">
        <v>900</v>
      </c>
      <c r="C21" s="13">
        <v>300</v>
      </c>
      <c r="D21" s="13">
        <f t="shared" si="9"/>
        <v>270000</v>
      </c>
      <c r="G21" s="17">
        <f t="shared" si="6"/>
        <v>6.4516129032258063E-2</v>
      </c>
      <c r="H21" s="17">
        <f t="shared" si="7"/>
        <v>0.1824632539280284</v>
      </c>
      <c r="I21" s="20">
        <f t="shared" ref="I21:J27" si="10">G21+I20</f>
        <v>0.20430107526881719</v>
      </c>
      <c r="J21" s="17">
        <f t="shared" si="10"/>
        <v>0.75603987159993247</v>
      </c>
      <c r="K21" s="24" t="str">
        <f t="shared" si="8"/>
        <v>A</v>
      </c>
      <c r="L21" s="5"/>
      <c r="M21" s="23"/>
      <c r="N21" s="25"/>
    </row>
    <row r="22" spans="1:15" s="5" customFormat="1" x14ac:dyDescent="0.25">
      <c r="A22" s="7" t="s">
        <v>16</v>
      </c>
      <c r="B22" s="13">
        <v>250</v>
      </c>
      <c r="C22" s="13">
        <v>500</v>
      </c>
      <c r="D22" s="13">
        <f t="shared" si="9"/>
        <v>125000</v>
      </c>
      <c r="G22" s="17">
        <f t="shared" si="6"/>
        <v>0.10752688172043011</v>
      </c>
      <c r="H22" s="17">
        <f t="shared" si="7"/>
        <v>8.4473728670383511E-2</v>
      </c>
      <c r="I22" s="20">
        <f t="shared" si="10"/>
        <v>0.31182795698924731</v>
      </c>
      <c r="J22" s="17">
        <f t="shared" si="10"/>
        <v>0.84051360027031596</v>
      </c>
      <c r="K22" s="24" t="str">
        <f t="shared" si="8"/>
        <v>B</v>
      </c>
      <c r="M22" s="23"/>
      <c r="N22" s="25"/>
    </row>
    <row r="23" spans="1:15" x14ac:dyDescent="0.25">
      <c r="A23" s="7" t="s">
        <v>13</v>
      </c>
      <c r="B23" s="13">
        <v>130</v>
      </c>
      <c r="C23" s="13">
        <v>700</v>
      </c>
      <c r="D23" s="13">
        <f t="shared" si="9"/>
        <v>91000</v>
      </c>
      <c r="G23" s="17">
        <f t="shared" si="6"/>
        <v>0.15053763440860216</v>
      </c>
      <c r="H23" s="17">
        <f t="shared" si="7"/>
        <v>6.1496874472039192E-2</v>
      </c>
      <c r="I23" s="20">
        <f t="shared" si="10"/>
        <v>0.4623655913978495</v>
      </c>
      <c r="J23" s="17">
        <f t="shared" si="10"/>
        <v>0.90201047474235518</v>
      </c>
      <c r="K23" s="24" t="str">
        <f t="shared" si="8"/>
        <v>B</v>
      </c>
      <c r="L23" s="5"/>
      <c r="M23" s="5"/>
      <c r="N23" s="5"/>
    </row>
    <row r="24" spans="1:15" x14ac:dyDescent="0.25">
      <c r="A24" s="7" t="s">
        <v>32</v>
      </c>
      <c r="B24" s="13">
        <v>100</v>
      </c>
      <c r="C24" s="13">
        <v>700</v>
      </c>
      <c r="D24" s="13">
        <f t="shared" si="9"/>
        <v>70000</v>
      </c>
      <c r="G24" s="17">
        <f t="shared" si="6"/>
        <v>0.15053763440860216</v>
      </c>
      <c r="H24" s="17">
        <f t="shared" si="7"/>
        <v>4.7305288055414764E-2</v>
      </c>
      <c r="I24" s="20">
        <f t="shared" si="10"/>
        <v>0.61290322580645162</v>
      </c>
      <c r="J24" s="17">
        <f t="shared" si="10"/>
        <v>0.94931576279776997</v>
      </c>
      <c r="K24" s="24" t="str">
        <f t="shared" si="8"/>
        <v>B</v>
      </c>
      <c r="L24" s="5"/>
    </row>
    <row r="25" spans="1:15" s="5" customFormat="1" x14ac:dyDescent="0.25">
      <c r="A25" s="7" t="s">
        <v>15</v>
      </c>
      <c r="B25" s="13">
        <v>50</v>
      </c>
      <c r="C25" s="13">
        <v>800</v>
      </c>
      <c r="D25" s="13">
        <f t="shared" si="9"/>
        <v>40000</v>
      </c>
      <c r="G25" s="17">
        <f t="shared" si="6"/>
        <v>0.17204301075268819</v>
      </c>
      <c r="H25" s="17">
        <f t="shared" si="7"/>
        <v>2.7031593174522722E-2</v>
      </c>
      <c r="I25" s="20">
        <f t="shared" si="10"/>
        <v>0.78494623655913975</v>
      </c>
      <c r="J25" s="17">
        <f t="shared" si="10"/>
        <v>0.97634735597229272</v>
      </c>
      <c r="K25" s="24" t="str">
        <f t="shared" si="8"/>
        <v>C</v>
      </c>
    </row>
    <row r="26" spans="1:15" x14ac:dyDescent="0.25">
      <c r="A26" s="7" t="s">
        <v>17</v>
      </c>
      <c r="B26" s="13">
        <v>40</v>
      </c>
      <c r="C26" s="13">
        <v>500</v>
      </c>
      <c r="D26" s="13">
        <f t="shared" si="9"/>
        <v>20000</v>
      </c>
      <c r="G26" s="17">
        <f t="shared" si="6"/>
        <v>0.10752688172043011</v>
      </c>
      <c r="H26" s="17">
        <f t="shared" si="7"/>
        <v>1.3515796587261361E-2</v>
      </c>
      <c r="I26" s="20">
        <f t="shared" si="10"/>
        <v>0.89247311827956988</v>
      </c>
      <c r="J26" s="17">
        <f t="shared" si="10"/>
        <v>0.98986315255955404</v>
      </c>
      <c r="K26" s="24" t="str">
        <f t="shared" si="8"/>
        <v>C</v>
      </c>
      <c r="L26" s="5"/>
    </row>
    <row r="27" spans="1:15" x14ac:dyDescent="0.25">
      <c r="A27" s="7" t="s">
        <v>33</v>
      </c>
      <c r="B27" s="13">
        <v>30</v>
      </c>
      <c r="C27" s="13">
        <v>500</v>
      </c>
      <c r="D27" s="13">
        <f t="shared" si="9"/>
        <v>15000</v>
      </c>
      <c r="G27" s="17">
        <f t="shared" si="6"/>
        <v>0.10752688172043011</v>
      </c>
      <c r="H27" s="17">
        <f t="shared" si="7"/>
        <v>1.0136847440446021E-2</v>
      </c>
      <c r="I27" s="20">
        <f t="shared" si="10"/>
        <v>1</v>
      </c>
      <c r="J27" s="17">
        <f t="shared" si="10"/>
        <v>1</v>
      </c>
      <c r="K27" s="24" t="str">
        <f t="shared" si="8"/>
        <v>C</v>
      </c>
      <c r="L27" s="5"/>
    </row>
    <row r="28" spans="1:15" s="5" customFormat="1" x14ac:dyDescent="0.25">
      <c r="A28" s="14"/>
      <c r="B28" s="15">
        <f>SUM(B19:B27)</f>
        <v>4150</v>
      </c>
      <c r="C28" s="15">
        <f>SUM(C19:C27)</f>
        <v>4650</v>
      </c>
      <c r="D28" s="16">
        <f>SUM(D19:D26)</f>
        <v>1464750</v>
      </c>
    </row>
    <row r="29" spans="1:15" x14ac:dyDescent="0.25">
      <c r="A29" s="5"/>
      <c r="C29" s="5"/>
      <c r="H29" s="5"/>
      <c r="I29" s="5"/>
      <c r="J29" s="5"/>
      <c r="K29" s="5"/>
      <c r="L29" s="5"/>
    </row>
    <row r="30" spans="1:15" x14ac:dyDescent="0.25">
      <c r="B30" s="5"/>
      <c r="D30" s="5"/>
      <c r="H30" s="5"/>
      <c r="I30" s="5"/>
      <c r="J30" s="5"/>
      <c r="K30" s="5"/>
    </row>
    <row r="31" spans="1:15" x14ac:dyDescent="0.25">
      <c r="A31" s="5"/>
      <c r="D31" s="5"/>
      <c r="I31" s="5"/>
      <c r="J31" s="5"/>
      <c r="L31" s="5"/>
    </row>
    <row r="32" spans="1:15" x14ac:dyDescent="0.25">
      <c r="D32" s="5"/>
      <c r="H32" s="5"/>
      <c r="I32" s="5"/>
      <c r="J32" s="5"/>
      <c r="K32" s="5"/>
    </row>
    <row r="33" spans="1:12" x14ac:dyDescent="0.25">
      <c r="C33" s="5"/>
      <c r="I33" s="5"/>
      <c r="J33" s="5"/>
      <c r="K33" s="5"/>
      <c r="L33" s="5"/>
    </row>
    <row r="34" spans="1:12" x14ac:dyDescent="0.25">
      <c r="I34" s="5"/>
      <c r="J34" s="5"/>
    </row>
    <row r="35" spans="1:12" x14ac:dyDescent="0.25">
      <c r="H35" s="5"/>
      <c r="I35" s="5"/>
      <c r="J35" s="21" t="s">
        <v>24</v>
      </c>
      <c r="K35" s="32" t="s">
        <v>27</v>
      </c>
    </row>
    <row r="36" spans="1:12" x14ac:dyDescent="0.25">
      <c r="D36" s="5"/>
      <c r="J36" s="12" t="s">
        <v>25</v>
      </c>
      <c r="K36" s="33" t="s">
        <v>28</v>
      </c>
    </row>
    <row r="37" spans="1:12" x14ac:dyDescent="0.25">
      <c r="H37" s="5"/>
      <c r="J37" s="22" t="s">
        <v>26</v>
      </c>
      <c r="K37" s="34" t="s">
        <v>29</v>
      </c>
    </row>
    <row r="38" spans="1:12" x14ac:dyDescent="0.25">
      <c r="D38" s="5"/>
    </row>
    <row r="39" spans="1:12" x14ac:dyDescent="0.25">
      <c r="H39" s="5"/>
      <c r="I39" s="5"/>
    </row>
    <row r="40" spans="1:12" x14ac:dyDescent="0.25">
      <c r="I40" s="5"/>
    </row>
    <row r="41" spans="1:12" x14ac:dyDescent="0.25">
      <c r="B41" s="5"/>
    </row>
    <row r="42" spans="1:12" x14ac:dyDescent="0.25">
      <c r="I42" s="5"/>
    </row>
    <row r="43" spans="1:12" x14ac:dyDescent="0.25">
      <c r="J43" s="5"/>
    </row>
    <row r="44" spans="1:12" x14ac:dyDescent="0.25">
      <c r="J44" s="5"/>
    </row>
    <row r="45" spans="1:12" x14ac:dyDescent="0.25">
      <c r="A45" s="5"/>
      <c r="K45" s="5"/>
    </row>
    <row r="46" spans="1:12" x14ac:dyDescent="0.25">
      <c r="I46" s="5"/>
    </row>
    <row r="48" spans="1:12" x14ac:dyDescent="0.25">
      <c r="D48" s="5"/>
      <c r="I48" s="5"/>
    </row>
    <row r="51" spans="9:9" x14ac:dyDescent="0.25">
      <c r="I51" s="5"/>
    </row>
  </sheetData>
  <autoFilter ref="A4:E11" xr:uid="{5A0C357B-3F1E-4082-9F25-CBF3C0C73F3C}">
    <sortState ref="A5:E11">
      <sortCondition descending="1" ref="E4:E11"/>
    </sortState>
  </autoFilter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331C0-BD7B-4D7B-AE36-B512E758AB3F}">
  <sheetPr codeName="Лист7"/>
  <dimension ref="A1:AN68"/>
  <sheetViews>
    <sheetView showGridLines="0" zoomScale="40" zoomScaleNormal="40" workbookViewId="0">
      <selection activeCell="B1" sqref="B1"/>
    </sheetView>
  </sheetViews>
  <sheetFormatPr defaultColWidth="11.42578125" defaultRowHeight="15" x14ac:dyDescent="0.25"/>
  <cols>
    <col min="1" max="1" width="32.28515625" style="40" customWidth="1"/>
    <col min="2" max="40" width="13" style="40" customWidth="1"/>
    <col min="41" max="16384" width="11.42578125" style="40"/>
  </cols>
  <sheetData>
    <row r="1" spans="1:40" s="39" customFormat="1" ht="61.5" x14ac:dyDescent="0.5">
      <c r="A1" s="44" t="s">
        <v>35</v>
      </c>
      <c r="B1" s="43">
        <v>1</v>
      </c>
      <c r="C1" s="43">
        <v>7</v>
      </c>
      <c r="D1" s="43">
        <v>5</v>
      </c>
      <c r="E1" s="43">
        <v>3</v>
      </c>
      <c r="F1" s="43">
        <v>4</v>
      </c>
      <c r="G1" s="43">
        <v>3</v>
      </c>
      <c r="H1" s="43">
        <v>2</v>
      </c>
      <c r="I1" s="43">
        <v>1</v>
      </c>
      <c r="J1" s="43">
        <v>5</v>
      </c>
      <c r="K1" s="43">
        <v>7</v>
      </c>
      <c r="L1" s="43">
        <v>8</v>
      </c>
      <c r="M1" s="43">
        <v>5</v>
      </c>
      <c r="N1" s="43">
        <v>7</v>
      </c>
      <c r="O1" s="43">
        <v>8</v>
      </c>
      <c r="P1" s="43">
        <v>6</v>
      </c>
      <c r="Q1" s="43">
        <v>6</v>
      </c>
      <c r="R1" s="43">
        <v>2</v>
      </c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38"/>
      <c r="AM1" s="38"/>
      <c r="AN1" s="38"/>
    </row>
    <row r="2" spans="1:40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</row>
    <row r="3" spans="1:40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</row>
    <row r="4" spans="1:40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75" t="s">
        <v>36</v>
      </c>
      <c r="W4" s="75"/>
      <c r="X4" s="75"/>
      <c r="Y4" s="75"/>
      <c r="Z4" s="75"/>
      <c r="AA4" s="75"/>
      <c r="AB4" s="5"/>
      <c r="AC4" s="5"/>
      <c r="AD4" s="5"/>
      <c r="AE4" s="5"/>
      <c r="AF4" s="5"/>
      <c r="AG4" s="5"/>
    </row>
    <row r="5" spans="1:40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75"/>
      <c r="W5" s="75"/>
      <c r="X5" s="75"/>
      <c r="Y5" s="75"/>
      <c r="Z5" s="75"/>
      <c r="AA5" s="75"/>
      <c r="AB5" s="5"/>
      <c r="AC5" s="5"/>
      <c r="AD5" s="5"/>
      <c r="AE5" s="5"/>
      <c r="AF5" s="5"/>
      <c r="AG5" s="5"/>
    </row>
    <row r="6" spans="1:40" ht="33.75" x14ac:dyDescent="0.5">
      <c r="A6" s="5"/>
      <c r="B6" s="45"/>
      <c r="C6" s="45"/>
      <c r="D6" s="45"/>
      <c r="E6" s="45"/>
      <c r="F6" s="4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75"/>
      <c r="W6" s="75"/>
      <c r="X6" s="75"/>
      <c r="Y6" s="75"/>
      <c r="Z6" s="75"/>
      <c r="AA6" s="75"/>
      <c r="AB6" s="5"/>
      <c r="AC6" s="5"/>
      <c r="AD6" s="5"/>
      <c r="AE6" s="5"/>
      <c r="AF6" s="5"/>
      <c r="AG6" s="5"/>
    </row>
    <row r="7" spans="1:40" ht="33.75" x14ac:dyDescent="0.5">
      <c r="A7" s="5"/>
      <c r="B7" s="45"/>
      <c r="C7" s="45"/>
      <c r="D7" s="45"/>
      <c r="E7" s="45"/>
      <c r="F7" s="4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75"/>
      <c r="W7" s="75"/>
      <c r="X7" s="75"/>
      <c r="Y7" s="75"/>
      <c r="Z7" s="75"/>
      <c r="AA7" s="75"/>
      <c r="AB7" s="5"/>
      <c r="AC7" s="5"/>
      <c r="AD7" s="5"/>
      <c r="AE7" s="5"/>
      <c r="AF7" s="5"/>
      <c r="AG7" s="5"/>
    </row>
    <row r="8" spans="1:40" ht="33.75" x14ac:dyDescent="0.5">
      <c r="A8" s="5"/>
      <c r="B8" s="45"/>
      <c r="C8" s="45"/>
      <c r="D8" s="45"/>
      <c r="E8" s="45"/>
      <c r="F8" s="4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75"/>
      <c r="W8" s="75"/>
      <c r="X8" s="75"/>
      <c r="Y8" s="75"/>
      <c r="Z8" s="75"/>
      <c r="AA8" s="75"/>
      <c r="AB8" s="5"/>
      <c r="AC8" s="5"/>
      <c r="AD8" s="5"/>
      <c r="AE8" s="5"/>
      <c r="AF8" s="5"/>
      <c r="AG8" s="5"/>
    </row>
    <row r="9" spans="1:40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75"/>
      <c r="W9" s="75"/>
      <c r="X9" s="75"/>
      <c r="Y9" s="75"/>
      <c r="Z9" s="75"/>
      <c r="AA9" s="75"/>
      <c r="AB9" s="5"/>
      <c r="AC9" s="5"/>
      <c r="AD9" s="5"/>
      <c r="AE9" s="5"/>
      <c r="AF9" s="5"/>
      <c r="AG9" s="5"/>
    </row>
    <row r="10" spans="1:40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</row>
    <row r="11" spans="1:40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</row>
    <row r="12" spans="1:40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</row>
    <row r="13" spans="1:40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</row>
    <row r="14" spans="1:40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</row>
    <row r="15" spans="1:40" ht="88.15" customHeigh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</row>
    <row r="16" spans="1:40" ht="277.89999999999998" customHeigh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</row>
    <row r="17" spans="1:33" ht="318.60000000000002" customHeigh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</row>
    <row r="18" spans="1:33" s="41" customFormat="1" ht="56.25" customHeight="1" x14ac:dyDescent="0.25">
      <c r="A18" s="42" t="s">
        <v>37</v>
      </c>
      <c r="B18" s="37">
        <v>1</v>
      </c>
      <c r="C18" s="37">
        <v>1</v>
      </c>
      <c r="D18" s="37">
        <v>2</v>
      </c>
      <c r="E18" s="37">
        <v>2</v>
      </c>
      <c r="F18" s="37">
        <v>3</v>
      </c>
      <c r="G18" s="37">
        <v>3</v>
      </c>
      <c r="H18" s="37">
        <v>4</v>
      </c>
      <c r="I18" s="37">
        <v>5</v>
      </c>
      <c r="J18" s="37">
        <v>5</v>
      </c>
      <c r="K18" s="37">
        <v>5</v>
      </c>
      <c r="L18" s="37">
        <v>6</v>
      </c>
      <c r="M18" s="37">
        <v>6</v>
      </c>
      <c r="N18" s="37">
        <v>7</v>
      </c>
      <c r="O18" s="37">
        <v>7</v>
      </c>
      <c r="P18" s="37">
        <v>7</v>
      </c>
      <c r="Q18" s="37">
        <v>8</v>
      </c>
      <c r="R18" s="37">
        <v>8</v>
      </c>
    </row>
    <row r="19" spans="1:33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</row>
    <row r="20" spans="1:33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</row>
    <row r="21" spans="1:33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</row>
    <row r="22" spans="1:33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</row>
    <row r="23" spans="1:33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</row>
    <row r="24" spans="1:33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</row>
    <row r="25" spans="1:33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</row>
    <row r="26" spans="1:33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</row>
    <row r="27" spans="1:33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</row>
    <row r="28" spans="1:33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</row>
    <row r="29" spans="1:33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</row>
    <row r="30" spans="1:33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</row>
    <row r="31" spans="1:33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</row>
    <row r="32" spans="1:33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</row>
    <row r="33" spans="1:33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</row>
    <row r="34" spans="1:33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</row>
    <row r="35" spans="1:33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</row>
    <row r="36" spans="1:33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</row>
    <row r="37" spans="1:33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</row>
    <row r="38" spans="1:33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</row>
    <row r="39" spans="1:33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</row>
    <row r="40" spans="1:33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</row>
    <row r="41" spans="1:33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</row>
    <row r="42" spans="1:33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</row>
    <row r="43" spans="1:33" x14ac:dyDescent="0.25">
      <c r="O43" s="5"/>
      <c r="AB43" s="5"/>
      <c r="AC43" s="5"/>
      <c r="AD43" s="5"/>
      <c r="AE43" s="5"/>
      <c r="AF43" s="5"/>
      <c r="AG43" s="5"/>
    </row>
    <row r="44" spans="1:33" x14ac:dyDescent="0.25">
      <c r="AC44" s="5"/>
      <c r="AD44" s="5"/>
      <c r="AE44" s="5"/>
      <c r="AF44" s="5"/>
      <c r="AG44" s="5"/>
    </row>
    <row r="45" spans="1:33" x14ac:dyDescent="0.25">
      <c r="L45" s="5"/>
      <c r="Z45" s="5"/>
      <c r="AC45" s="5"/>
      <c r="AD45" s="5"/>
      <c r="AE45" s="5"/>
      <c r="AF45" s="5"/>
      <c r="AG45" s="5"/>
    </row>
    <row r="46" spans="1:33" x14ac:dyDescent="0.25">
      <c r="AC46" s="5"/>
      <c r="AD46" s="5"/>
      <c r="AE46" s="5"/>
      <c r="AF46" s="5"/>
      <c r="AG46" s="5"/>
    </row>
    <row r="47" spans="1:33" x14ac:dyDescent="0.25">
      <c r="U47" s="5"/>
      <c r="AC47" s="5"/>
      <c r="AD47" s="5"/>
      <c r="AE47" s="5"/>
      <c r="AF47" s="5"/>
      <c r="AG47" s="5"/>
    </row>
    <row r="48" spans="1:33" x14ac:dyDescent="0.25">
      <c r="AC48" s="5"/>
      <c r="AD48" s="5"/>
      <c r="AE48" s="5"/>
      <c r="AF48" s="5"/>
      <c r="AG48" s="5"/>
    </row>
    <row r="49" spans="11:33" x14ac:dyDescent="0.25">
      <c r="X49" s="5"/>
      <c r="AC49" s="5"/>
      <c r="AD49" s="5"/>
      <c r="AE49" s="5"/>
      <c r="AF49" s="5"/>
      <c r="AG49" s="5"/>
    </row>
    <row r="50" spans="11:33" x14ac:dyDescent="0.25">
      <c r="S50" s="5"/>
    </row>
    <row r="53" spans="11:33" x14ac:dyDescent="0.25">
      <c r="N53" s="5"/>
    </row>
    <row r="54" spans="11:33" x14ac:dyDescent="0.25">
      <c r="AA54" s="5"/>
    </row>
    <row r="57" spans="11:33" x14ac:dyDescent="0.25">
      <c r="P57" s="5"/>
    </row>
    <row r="58" spans="11:33" x14ac:dyDescent="0.25">
      <c r="U58" s="5"/>
    </row>
    <row r="60" spans="11:33" x14ac:dyDescent="0.25">
      <c r="K60" s="5"/>
    </row>
    <row r="64" spans="11:33" x14ac:dyDescent="0.25">
      <c r="S64" s="5"/>
    </row>
    <row r="68" spans="8:8" x14ac:dyDescent="0.25">
      <c r="H68" s="5"/>
    </row>
  </sheetData>
  <mergeCells count="1">
    <mergeCell ref="V4:AA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11F84-688B-4EE4-B11C-AC6F887DDF97}">
  <sheetPr codeName="Лист8"/>
  <dimension ref="A1:O42"/>
  <sheetViews>
    <sheetView tabSelected="1" topLeftCell="A4" workbookViewId="0">
      <selection activeCell="F23" sqref="F23"/>
    </sheetView>
  </sheetViews>
  <sheetFormatPr defaultRowHeight="15" x14ac:dyDescent="0.25"/>
  <cols>
    <col min="2" max="2" width="9.140625" style="5"/>
    <col min="6" max="6" width="15.42578125" bestFit="1" customWidth="1"/>
    <col min="7" max="7" width="10.42578125" bestFit="1" customWidth="1"/>
    <col min="8" max="8" width="12.42578125" bestFit="1" customWidth="1"/>
    <col min="9" max="9" width="9.28515625" bestFit="1" customWidth="1"/>
    <col min="10" max="10" width="13.140625" bestFit="1" customWidth="1"/>
    <col min="11" max="11" width="14.28515625" customWidth="1"/>
    <col min="12" max="12" width="11.42578125" customWidth="1"/>
    <col min="13" max="13" width="11" customWidth="1"/>
    <col min="14" max="14" width="5.85546875" bestFit="1" customWidth="1"/>
    <col min="15" max="15" width="10.5703125" customWidth="1"/>
  </cols>
  <sheetData>
    <row r="1" spans="1:15" x14ac:dyDescent="0.25">
      <c r="A1" s="24" t="s">
        <v>38</v>
      </c>
      <c r="B1" s="24" t="s">
        <v>38</v>
      </c>
      <c r="C1" s="24" t="s">
        <v>39</v>
      </c>
    </row>
    <row r="2" spans="1:15" x14ac:dyDescent="0.25">
      <c r="A2" s="24" t="s">
        <v>40</v>
      </c>
      <c r="B2" s="24" t="s">
        <v>38</v>
      </c>
      <c r="C2" s="24" t="s">
        <v>41</v>
      </c>
    </row>
    <row r="3" spans="1:15" x14ac:dyDescent="0.25">
      <c r="A3" s="24" t="s">
        <v>42</v>
      </c>
      <c r="B3" s="24" t="s">
        <v>43</v>
      </c>
      <c r="C3" s="24" t="s">
        <v>38</v>
      </c>
      <c r="D3" s="5"/>
    </row>
    <row r="4" spans="1:15" x14ac:dyDescent="0.25">
      <c r="C4" s="5"/>
      <c r="E4" s="5"/>
      <c r="F4" s="71"/>
      <c r="G4" s="71"/>
      <c r="H4" s="71"/>
      <c r="I4" s="71"/>
      <c r="J4" s="71"/>
      <c r="K4" s="71"/>
      <c r="L4" s="71"/>
      <c r="M4" s="71"/>
      <c r="N4" s="71"/>
      <c r="O4" s="71"/>
    </row>
    <row r="5" spans="1:15" ht="18.75" customHeight="1" x14ac:dyDescent="0.35">
      <c r="E5" s="5"/>
      <c r="F5" s="76" t="s">
        <v>67</v>
      </c>
      <c r="G5" s="76"/>
      <c r="H5" s="76"/>
      <c r="I5" s="76"/>
      <c r="J5" s="76"/>
      <c r="K5" s="76"/>
      <c r="L5" s="76"/>
      <c r="M5" s="76"/>
      <c r="N5" s="76"/>
      <c r="O5" s="76"/>
    </row>
    <row r="6" spans="1:15" ht="33" customHeight="1" x14ac:dyDescent="0.25">
      <c r="E6" s="5"/>
      <c r="F6" s="70" t="s">
        <v>68</v>
      </c>
      <c r="G6" s="70" t="s">
        <v>69</v>
      </c>
      <c r="H6" s="70" t="s">
        <v>70</v>
      </c>
      <c r="I6" s="70" t="s">
        <v>71</v>
      </c>
      <c r="J6" s="70" t="s">
        <v>72</v>
      </c>
      <c r="K6" s="70" t="s">
        <v>73</v>
      </c>
      <c r="L6" s="70" t="s">
        <v>74</v>
      </c>
      <c r="M6" s="70" t="s">
        <v>75</v>
      </c>
      <c r="N6" s="70" t="s">
        <v>76</v>
      </c>
      <c r="O6" s="70" t="s">
        <v>77</v>
      </c>
    </row>
    <row r="7" spans="1:15" x14ac:dyDescent="0.25">
      <c r="A7" s="5"/>
      <c r="E7" s="5"/>
      <c r="F7" s="56" t="s">
        <v>97</v>
      </c>
      <c r="G7" s="57" t="s">
        <v>98</v>
      </c>
      <c r="H7" s="58" t="s">
        <v>99</v>
      </c>
      <c r="I7" s="57" t="s">
        <v>95</v>
      </c>
      <c r="J7" s="58" t="s">
        <v>78</v>
      </c>
      <c r="K7" s="57">
        <v>56.25</v>
      </c>
      <c r="L7" s="59">
        <v>43922</v>
      </c>
      <c r="M7" s="60">
        <f>L7+3</f>
        <v>43925</v>
      </c>
      <c r="N7" s="57">
        <f>M7-L7</f>
        <v>3</v>
      </c>
      <c r="O7" s="57">
        <f>N7*K7</f>
        <v>168.75</v>
      </c>
    </row>
    <row r="8" spans="1:15" x14ac:dyDescent="0.25">
      <c r="E8" s="50"/>
      <c r="F8" s="56" t="s">
        <v>79</v>
      </c>
      <c r="G8" s="61" t="s">
        <v>80</v>
      </c>
      <c r="H8" s="58" t="s">
        <v>81</v>
      </c>
      <c r="I8" s="61" t="s">
        <v>96</v>
      </c>
      <c r="J8" s="58" t="s">
        <v>82</v>
      </c>
      <c r="K8" s="61">
        <v>75</v>
      </c>
      <c r="L8" s="59">
        <v>43931</v>
      </c>
      <c r="M8" s="62">
        <f>L8+2</f>
        <v>43933</v>
      </c>
      <c r="N8" s="61">
        <f t="shared" ref="N8:N11" si="0">M8-L8</f>
        <v>2</v>
      </c>
      <c r="O8" s="61">
        <f t="shared" ref="O8:O11" si="1">N8*K8</f>
        <v>150</v>
      </c>
    </row>
    <row r="9" spans="1:15" x14ac:dyDescent="0.25">
      <c r="E9" s="5"/>
      <c r="F9" s="56" t="s">
        <v>83</v>
      </c>
      <c r="G9" s="61" t="s">
        <v>84</v>
      </c>
      <c r="H9" s="58" t="s">
        <v>85</v>
      </c>
      <c r="I9" s="61" t="s">
        <v>95</v>
      </c>
      <c r="J9" s="58" t="s">
        <v>86</v>
      </c>
      <c r="K9" s="61">
        <v>37.5</v>
      </c>
      <c r="L9" s="59">
        <v>43921</v>
      </c>
      <c r="M9" s="62">
        <f>L9+2</f>
        <v>43923</v>
      </c>
      <c r="N9" s="61">
        <f t="shared" si="0"/>
        <v>2</v>
      </c>
      <c r="O9" s="61">
        <f t="shared" si="1"/>
        <v>75</v>
      </c>
    </row>
    <row r="10" spans="1:15" x14ac:dyDescent="0.25">
      <c r="E10" s="5"/>
      <c r="F10" s="56" t="s">
        <v>87</v>
      </c>
      <c r="G10" s="61" t="s">
        <v>88</v>
      </c>
      <c r="H10" s="58" t="s">
        <v>89</v>
      </c>
      <c r="I10" s="61" t="s">
        <v>96</v>
      </c>
      <c r="J10" s="63" t="s">
        <v>90</v>
      </c>
      <c r="K10" s="61">
        <v>25</v>
      </c>
      <c r="L10" s="59">
        <v>43952</v>
      </c>
      <c r="M10" s="62">
        <f>L10+10</f>
        <v>43962</v>
      </c>
      <c r="N10" s="61">
        <f t="shared" si="0"/>
        <v>10</v>
      </c>
      <c r="O10" s="61">
        <f t="shared" si="1"/>
        <v>250</v>
      </c>
    </row>
    <row r="11" spans="1:15" ht="23.25" customHeight="1" x14ac:dyDescent="0.25">
      <c r="E11" s="5"/>
      <c r="F11" s="64" t="s">
        <v>91</v>
      </c>
      <c r="G11" s="65" t="s">
        <v>92</v>
      </c>
      <c r="H11" s="66" t="s">
        <v>93</v>
      </c>
      <c r="I11" s="65" t="s">
        <v>95</v>
      </c>
      <c r="J11" s="67" t="s">
        <v>94</v>
      </c>
      <c r="K11" s="65">
        <v>56.25</v>
      </c>
      <c r="L11" s="68">
        <v>43922</v>
      </c>
      <c r="M11" s="69">
        <f>L11+1</f>
        <v>43923</v>
      </c>
      <c r="N11" s="65">
        <f t="shared" si="0"/>
        <v>1</v>
      </c>
      <c r="O11" s="65">
        <f t="shared" si="1"/>
        <v>56.25</v>
      </c>
    </row>
    <row r="12" spans="1:15" x14ac:dyDescent="0.25">
      <c r="K12" s="5"/>
    </row>
    <row r="13" spans="1:15" x14ac:dyDescent="0.25">
      <c r="C13" s="5"/>
    </row>
    <row r="16" spans="1:15" x14ac:dyDescent="0.25">
      <c r="E16" s="5"/>
    </row>
    <row r="17" spans="2:5" x14ac:dyDescent="0.25">
      <c r="E17" s="5"/>
    </row>
    <row r="18" spans="2:5" x14ac:dyDescent="0.25">
      <c r="B18" s="52">
        <v>-7</v>
      </c>
      <c r="C18" s="53">
        <v>0</v>
      </c>
      <c r="D18" s="54">
        <v>4</v>
      </c>
    </row>
    <row r="19" spans="2:5" x14ac:dyDescent="0.25">
      <c r="B19" s="53">
        <v>0</v>
      </c>
      <c r="C19" s="54">
        <v>2</v>
      </c>
      <c r="D19" s="52">
        <v>-9</v>
      </c>
    </row>
    <row r="20" spans="2:5" x14ac:dyDescent="0.25">
      <c r="B20" s="54">
        <v>5</v>
      </c>
      <c r="C20" s="52">
        <v>-3</v>
      </c>
      <c r="D20" s="53">
        <v>0</v>
      </c>
    </row>
    <row r="22" spans="2:5" x14ac:dyDescent="0.25">
      <c r="D22" s="5"/>
    </row>
    <row r="33" spans="2:4" x14ac:dyDescent="0.25">
      <c r="B33" s="51"/>
      <c r="C33" s="51"/>
      <c r="D33" s="51"/>
    </row>
    <row r="34" spans="2:4" x14ac:dyDescent="0.25">
      <c r="B34" s="51"/>
      <c r="C34" s="51"/>
      <c r="D34" s="51"/>
    </row>
    <row r="35" spans="2:4" x14ac:dyDescent="0.25">
      <c r="B35" s="51"/>
      <c r="C35" s="51"/>
      <c r="D35" s="51"/>
    </row>
    <row r="37" spans="2:4" x14ac:dyDescent="0.25">
      <c r="B37" s="55" t="s">
        <v>61</v>
      </c>
      <c r="C37" s="48" t="s">
        <v>60</v>
      </c>
    </row>
    <row r="38" spans="2:4" x14ac:dyDescent="0.25">
      <c r="B38" s="7" t="s">
        <v>62</v>
      </c>
      <c r="C38" s="49">
        <v>800</v>
      </c>
    </row>
    <row r="39" spans="2:4" x14ac:dyDescent="0.25">
      <c r="B39" s="7" t="s">
        <v>63</v>
      </c>
      <c r="C39" s="49">
        <v>1000</v>
      </c>
    </row>
    <row r="40" spans="2:4" x14ac:dyDescent="0.25">
      <c r="B40" s="7" t="s">
        <v>64</v>
      </c>
      <c r="C40" s="49">
        <v>200</v>
      </c>
    </row>
    <row r="41" spans="2:4" x14ac:dyDescent="0.25">
      <c r="B41" s="7" t="s">
        <v>65</v>
      </c>
      <c r="C41" s="49">
        <v>200</v>
      </c>
    </row>
    <row r="42" spans="2:4" x14ac:dyDescent="0.25">
      <c r="B42" s="7" t="s">
        <v>66</v>
      </c>
      <c r="C42" s="7">
        <v>10</v>
      </c>
    </row>
  </sheetData>
  <mergeCells count="1">
    <mergeCell ref="F5:O5"/>
  </mergeCells>
  <hyperlinks>
    <hyperlink ref="F11" r:id="rId1" xr:uid="{F3CB859F-72C9-49A9-B04A-E6FB1293D458}"/>
    <hyperlink ref="F10" r:id="rId2" xr:uid="{A3A78EC5-61A3-4BA0-86A3-7539A3CC81F2}"/>
    <hyperlink ref="F9" r:id="rId3" xr:uid="{846A986D-7FA9-490D-B8F2-5CDDAF9C563B}"/>
    <hyperlink ref="F8" r:id="rId4" xr:uid="{A9797ECA-6874-475C-9588-CDF3AD560AFB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7" name="Button 3">
              <controlPr defaultSize="0" print="0" autoFill="0" autoPict="0" macro="[0]!Urok30_61">
                <anchor moveWithCells="1" sizeWithCells="1">
                  <from>
                    <xdr:col>1</xdr:col>
                    <xdr:colOff>0</xdr:colOff>
                    <xdr:row>13</xdr:row>
                    <xdr:rowOff>180975</xdr:rowOff>
                  </from>
                  <to>
                    <xdr:col>3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8" name="Button 4">
              <controlPr defaultSize="0" print="0" autoFill="0" autoPict="0" macro="[0]!Urok_30_62">
                <anchor moveWithCells="1" sizeWithCells="1">
                  <from>
                    <xdr:col>1</xdr:col>
                    <xdr:colOff>0</xdr:colOff>
                    <xdr:row>21</xdr:row>
                    <xdr:rowOff>9525</xdr:rowOff>
                  </from>
                  <to>
                    <xdr:col>4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1BD61-9D55-4ED8-B996-D90AEF9FC1CC}">
  <sheetPr codeName="Лист9"/>
  <dimension ref="A1:K35"/>
  <sheetViews>
    <sheetView workbookViewId="0">
      <selection activeCell="A11" sqref="A11"/>
    </sheetView>
  </sheetViews>
  <sheetFormatPr defaultRowHeight="15" x14ac:dyDescent="0.25"/>
  <cols>
    <col min="5" max="5" width="9.5703125" bestFit="1" customWidth="1"/>
    <col min="7" max="7" width="20.7109375" bestFit="1" customWidth="1"/>
    <col min="8" max="8" width="16" customWidth="1"/>
    <col min="9" max="9" width="12.5703125" customWidth="1"/>
  </cols>
  <sheetData>
    <row r="1" spans="1:11" x14ac:dyDescent="0.25">
      <c r="A1" s="46" t="s">
        <v>38</v>
      </c>
      <c r="E1" s="72" t="s">
        <v>113</v>
      </c>
      <c r="G1" s="48" t="s">
        <v>106</v>
      </c>
      <c r="H1" s="48" t="s">
        <v>107</v>
      </c>
      <c r="I1" s="48" t="s">
        <v>108</v>
      </c>
      <c r="K1" t="s">
        <v>51</v>
      </c>
    </row>
    <row r="2" spans="1:11" x14ac:dyDescent="0.25">
      <c r="E2" s="73" t="s">
        <v>110</v>
      </c>
      <c r="G2" s="49" t="s">
        <v>100</v>
      </c>
      <c r="H2" s="49" t="str">
        <f>extractNums(G2)</f>
        <v>3</v>
      </c>
      <c r="I2" s="49" t="str">
        <f>GetNumeric(G2)</f>
        <v>3</v>
      </c>
      <c r="K2" t="s">
        <v>52</v>
      </c>
    </row>
    <row r="3" spans="1:11" x14ac:dyDescent="0.25">
      <c r="A3" s="46" t="s">
        <v>38</v>
      </c>
      <c r="B3" s="46" t="s">
        <v>44</v>
      </c>
      <c r="C3" s="46" t="s">
        <v>39</v>
      </c>
      <c r="E3" s="73" t="s">
        <v>111</v>
      </c>
      <c r="G3" s="49" t="s">
        <v>101</v>
      </c>
      <c r="H3" s="49" t="str">
        <f t="shared" ref="H3:H7" si="0">extractNums(G3)</f>
        <v>2201109</v>
      </c>
      <c r="I3" s="49" t="str">
        <f t="shared" ref="I3:I7" si="1">GetNumeric(G3)</f>
        <v>2201109</v>
      </c>
      <c r="K3" t="s">
        <v>53</v>
      </c>
    </row>
    <row r="4" spans="1:11" x14ac:dyDescent="0.25">
      <c r="E4" s="73" t="s">
        <v>112</v>
      </c>
      <c r="G4" s="49" t="s">
        <v>102</v>
      </c>
      <c r="H4" s="49" t="str">
        <f t="shared" si="0"/>
        <v>5_19</v>
      </c>
      <c r="I4" s="49" t="str">
        <f t="shared" si="1"/>
        <v>519</v>
      </c>
      <c r="K4" t="s">
        <v>54</v>
      </c>
    </row>
    <row r="5" spans="1:11" x14ac:dyDescent="0.25">
      <c r="A5" s="46" t="s">
        <v>38</v>
      </c>
      <c r="B5" s="46" t="s">
        <v>44</v>
      </c>
      <c r="C5" s="46" t="s">
        <v>39</v>
      </c>
      <c r="E5" s="73" t="s">
        <v>111</v>
      </c>
      <c r="G5" s="49" t="s">
        <v>103</v>
      </c>
      <c r="H5" s="49" t="str">
        <f t="shared" si="0"/>
        <v>20201110_2</v>
      </c>
      <c r="I5" s="49" t="str">
        <f t="shared" si="1"/>
        <v>202011102</v>
      </c>
      <c r="K5" t="s">
        <v>55</v>
      </c>
    </row>
    <row r="6" spans="1:11" x14ac:dyDescent="0.25">
      <c r="A6" s="46" t="s">
        <v>40</v>
      </c>
      <c r="B6" s="46" t="s">
        <v>45</v>
      </c>
      <c r="C6" s="46" t="s">
        <v>41</v>
      </c>
      <c r="E6" s="73" t="s">
        <v>110</v>
      </c>
      <c r="G6" s="49" t="s">
        <v>104</v>
      </c>
      <c r="H6" s="49" t="str">
        <f t="shared" si="0"/>
        <v>20201110_3</v>
      </c>
      <c r="I6" s="49" t="str">
        <f t="shared" si="1"/>
        <v>202011103</v>
      </c>
      <c r="K6" t="s">
        <v>56</v>
      </c>
    </row>
    <row r="7" spans="1:11" x14ac:dyDescent="0.25">
      <c r="A7" s="46" t="s">
        <v>42</v>
      </c>
      <c r="B7" s="46" t="s">
        <v>43</v>
      </c>
      <c r="C7" s="46" t="s">
        <v>46</v>
      </c>
      <c r="E7" s="73" t="s">
        <v>109</v>
      </c>
      <c r="G7" s="49" t="s">
        <v>105</v>
      </c>
      <c r="H7" s="49" t="str">
        <f t="shared" si="0"/>
        <v/>
      </c>
      <c r="I7" s="49">
        <f t="shared" si="1"/>
        <v>0</v>
      </c>
      <c r="K7" t="s">
        <v>57</v>
      </c>
    </row>
    <row r="8" spans="1:11" x14ac:dyDescent="0.25">
      <c r="E8" s="73" t="s">
        <v>112</v>
      </c>
    </row>
    <row r="9" spans="1:11" x14ac:dyDescent="0.25">
      <c r="E9" s="73" t="s">
        <v>110</v>
      </c>
    </row>
    <row r="10" spans="1:11" x14ac:dyDescent="0.25">
      <c r="E10" s="73" t="s">
        <v>112</v>
      </c>
    </row>
    <row r="11" spans="1:11" x14ac:dyDescent="0.25">
      <c r="E11" s="73" t="s">
        <v>111</v>
      </c>
    </row>
    <row r="12" spans="1:11" x14ac:dyDescent="0.25">
      <c r="E12" s="73" t="s">
        <v>110</v>
      </c>
    </row>
    <row r="13" spans="1:11" x14ac:dyDescent="0.25">
      <c r="E13" s="73" t="s">
        <v>109</v>
      </c>
    </row>
    <row r="14" spans="1:11" x14ac:dyDescent="0.25">
      <c r="E14" s="73" t="s">
        <v>112</v>
      </c>
    </row>
    <row r="15" spans="1:11" x14ac:dyDescent="0.25">
      <c r="A15" s="46" t="s">
        <v>51</v>
      </c>
      <c r="E15" s="73" t="s">
        <v>110</v>
      </c>
    </row>
    <row r="16" spans="1:11" x14ac:dyDescent="0.25">
      <c r="A16" s="46" t="s">
        <v>52</v>
      </c>
      <c r="E16" s="73" t="s">
        <v>111</v>
      </c>
    </row>
    <row r="17" spans="1:5" x14ac:dyDescent="0.25">
      <c r="A17" s="46" t="s">
        <v>53</v>
      </c>
      <c r="E17" s="73" t="s">
        <v>112</v>
      </c>
    </row>
    <row r="18" spans="1:5" x14ac:dyDescent="0.25">
      <c r="A18" s="46" t="s">
        <v>54</v>
      </c>
      <c r="E18" s="73" t="s">
        <v>111</v>
      </c>
    </row>
    <row r="19" spans="1:5" x14ac:dyDescent="0.25">
      <c r="A19" s="46" t="s">
        <v>55</v>
      </c>
      <c r="E19" s="73" t="s">
        <v>110</v>
      </c>
    </row>
    <row r="20" spans="1:5" x14ac:dyDescent="0.25">
      <c r="A20" s="46" t="s">
        <v>56</v>
      </c>
      <c r="E20" s="73" t="s">
        <v>112</v>
      </c>
    </row>
    <row r="21" spans="1:5" x14ac:dyDescent="0.25">
      <c r="A21" s="46" t="s">
        <v>57</v>
      </c>
      <c r="E21" s="73" t="s">
        <v>111</v>
      </c>
    </row>
    <row r="22" spans="1:5" x14ac:dyDescent="0.25">
      <c r="E22" s="73" t="s">
        <v>114</v>
      </c>
    </row>
    <row r="23" spans="1:5" x14ac:dyDescent="0.25">
      <c r="E23" s="73" t="s">
        <v>109</v>
      </c>
    </row>
    <row r="24" spans="1:5" x14ac:dyDescent="0.25">
      <c r="E24" s="73" t="s">
        <v>112</v>
      </c>
    </row>
    <row r="25" spans="1:5" x14ac:dyDescent="0.25">
      <c r="E25" s="73" t="s">
        <v>114</v>
      </c>
    </row>
    <row r="26" spans="1:5" x14ac:dyDescent="0.25">
      <c r="E26" s="73" t="s">
        <v>111</v>
      </c>
    </row>
    <row r="27" spans="1:5" x14ac:dyDescent="0.25">
      <c r="E27" s="73" t="s">
        <v>114</v>
      </c>
    </row>
    <row r="28" spans="1:5" x14ac:dyDescent="0.25">
      <c r="E28" s="73" t="s">
        <v>109</v>
      </c>
    </row>
    <row r="29" spans="1:5" x14ac:dyDescent="0.25">
      <c r="E29" s="73" t="s">
        <v>111</v>
      </c>
    </row>
    <row r="30" spans="1:5" x14ac:dyDescent="0.25">
      <c r="E30" s="74" t="s">
        <v>112</v>
      </c>
    </row>
    <row r="35" spans="1:1" x14ac:dyDescent="0.25">
      <c r="A35" t="s">
        <v>115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20A47-2259-4304-9EF8-5E9DF140C47A}">
  <sheetPr codeName="Лист10"/>
  <dimension ref="A5:C7"/>
  <sheetViews>
    <sheetView workbookViewId="0">
      <selection activeCell="I43" sqref="I43"/>
    </sheetView>
  </sheetViews>
  <sheetFormatPr defaultRowHeight="15" x14ac:dyDescent="0.25"/>
  <sheetData>
    <row r="5" spans="1:3" x14ac:dyDescent="0.25">
      <c r="A5" s="46" t="s">
        <v>38</v>
      </c>
      <c r="B5" s="46" t="s">
        <v>44</v>
      </c>
      <c r="C5" s="46" t="s">
        <v>39</v>
      </c>
    </row>
    <row r="6" spans="1:3" x14ac:dyDescent="0.25">
      <c r="A6" s="46" t="s">
        <v>40</v>
      </c>
      <c r="B6" s="46" t="s">
        <v>45</v>
      </c>
      <c r="C6" s="46" t="s">
        <v>41</v>
      </c>
    </row>
    <row r="7" spans="1:3" x14ac:dyDescent="0.25">
      <c r="A7" s="46" t="s">
        <v>42</v>
      </c>
      <c r="B7" s="46" t="s">
        <v>43</v>
      </c>
      <c r="C7" s="46" t="s">
        <v>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EBE94-358F-4C38-969B-E3541E09770A}">
  <sheetPr codeName="Лист11"/>
  <dimension ref="A5:C7"/>
  <sheetViews>
    <sheetView workbookViewId="0">
      <selection activeCell="G19" sqref="G19"/>
    </sheetView>
  </sheetViews>
  <sheetFormatPr defaultRowHeight="15" x14ac:dyDescent="0.25"/>
  <sheetData>
    <row r="5" spans="1:3" x14ac:dyDescent="0.25">
      <c r="A5" s="46" t="s">
        <v>38</v>
      </c>
      <c r="B5" s="46" t="s">
        <v>44</v>
      </c>
      <c r="C5" s="46" t="s">
        <v>39</v>
      </c>
    </row>
    <row r="6" spans="1:3" x14ac:dyDescent="0.25">
      <c r="A6" s="46" t="s">
        <v>40</v>
      </c>
      <c r="B6" s="46" t="s">
        <v>45</v>
      </c>
      <c r="C6" s="46" t="s">
        <v>41</v>
      </c>
    </row>
    <row r="7" spans="1:3" x14ac:dyDescent="0.25">
      <c r="A7" s="46" t="s">
        <v>42</v>
      </c>
      <c r="B7" s="46" t="s">
        <v>43</v>
      </c>
      <c r="C7" s="46" t="s">
        <v>46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12176-592B-43FB-B919-0C7291AC4414}">
  <sheetPr codeName="Лист12">
    <pageSetUpPr autoPageBreaks="0"/>
  </sheetPr>
  <dimension ref="A1:I43"/>
  <sheetViews>
    <sheetView zoomScaleNormal="100" workbookViewId="0">
      <selection activeCell="M40" sqref="M40"/>
    </sheetView>
  </sheetViews>
  <sheetFormatPr defaultRowHeight="15" x14ac:dyDescent="0.25"/>
  <cols>
    <col min="1" max="4" width="9.140625" style="47"/>
  </cols>
  <sheetData>
    <row r="1" spans="1:9" x14ac:dyDescent="0.25">
      <c r="A1" s="48" t="s">
        <v>47</v>
      </c>
      <c r="B1" s="48" t="s">
        <v>48</v>
      </c>
      <c r="C1" s="48" t="s">
        <v>49</v>
      </c>
      <c r="D1" s="48" t="s">
        <v>50</v>
      </c>
    </row>
    <row r="2" spans="1:9" x14ac:dyDescent="0.25">
      <c r="A2" s="46">
        <v>9</v>
      </c>
      <c r="B2" s="46">
        <v>5</v>
      </c>
      <c r="C2" s="46">
        <v>1</v>
      </c>
      <c r="D2" s="46" t="s">
        <v>38</v>
      </c>
      <c r="F2" s="49">
        <v>25</v>
      </c>
      <c r="G2" s="49">
        <v>19</v>
      </c>
      <c r="H2" s="36">
        <v>17</v>
      </c>
      <c r="I2" s="49">
        <v>19</v>
      </c>
    </row>
    <row r="3" spans="1:9" x14ac:dyDescent="0.25">
      <c r="A3" s="46">
        <v>9</v>
      </c>
      <c r="B3" s="46">
        <v>5</v>
      </c>
      <c r="C3" s="46">
        <v>2</v>
      </c>
      <c r="D3" s="46" t="s">
        <v>44</v>
      </c>
      <c r="F3" s="49">
        <v>26</v>
      </c>
      <c r="G3" s="49">
        <v>21</v>
      </c>
      <c r="H3" s="36">
        <v>18</v>
      </c>
      <c r="I3" s="49">
        <v>21</v>
      </c>
    </row>
    <row r="4" spans="1:9" x14ac:dyDescent="0.25">
      <c r="A4" s="46">
        <v>9</v>
      </c>
      <c r="B4" s="46">
        <v>5</v>
      </c>
      <c r="C4" s="46">
        <v>3</v>
      </c>
      <c r="D4" s="46" t="s">
        <v>39</v>
      </c>
      <c r="F4" s="49">
        <v>27</v>
      </c>
      <c r="G4" s="49">
        <v>24</v>
      </c>
      <c r="H4" s="36">
        <v>19</v>
      </c>
      <c r="I4" s="49">
        <v>23</v>
      </c>
    </row>
    <row r="5" spans="1:9" x14ac:dyDescent="0.25">
      <c r="A5" s="46">
        <v>9</v>
      </c>
      <c r="B5" s="46">
        <v>6</v>
      </c>
      <c r="C5" s="46">
        <v>1</v>
      </c>
      <c r="D5" s="46" t="s">
        <v>40</v>
      </c>
      <c r="F5" s="49">
        <v>28</v>
      </c>
      <c r="G5" s="49">
        <v>25</v>
      </c>
      <c r="H5" s="36">
        <v>20</v>
      </c>
      <c r="I5" s="49">
        <v>25</v>
      </c>
    </row>
    <row r="6" spans="1:9" x14ac:dyDescent="0.25">
      <c r="A6" s="46">
        <v>9</v>
      </c>
      <c r="B6" s="46">
        <v>6</v>
      </c>
      <c r="C6" s="46">
        <v>2</v>
      </c>
      <c r="D6" s="46" t="s">
        <v>45</v>
      </c>
      <c r="F6" s="49">
        <v>29</v>
      </c>
      <c r="G6" s="49"/>
      <c r="H6" s="36">
        <v>21</v>
      </c>
      <c r="I6" s="49">
        <v>27</v>
      </c>
    </row>
    <row r="7" spans="1:9" x14ac:dyDescent="0.25">
      <c r="A7" s="46">
        <v>9</v>
      </c>
      <c r="B7" s="46">
        <v>6</v>
      </c>
      <c r="C7" s="46">
        <v>3</v>
      </c>
      <c r="D7" s="46" t="s">
        <v>45</v>
      </c>
      <c r="F7" s="49">
        <v>30</v>
      </c>
      <c r="G7" s="49">
        <v>26</v>
      </c>
      <c r="H7" s="36">
        <v>22</v>
      </c>
      <c r="I7" s="49">
        <v>29</v>
      </c>
    </row>
    <row r="8" spans="1:9" x14ac:dyDescent="0.25">
      <c r="A8" s="46">
        <v>9</v>
      </c>
      <c r="B8" s="46">
        <v>7</v>
      </c>
      <c r="C8" s="46">
        <v>1</v>
      </c>
      <c r="D8" s="46" t="s">
        <v>42</v>
      </c>
      <c r="F8" s="49">
        <v>31</v>
      </c>
      <c r="G8" s="49"/>
      <c r="H8" s="36">
        <v>23</v>
      </c>
      <c r="I8" s="49">
        <v>31</v>
      </c>
    </row>
    <row r="9" spans="1:9" x14ac:dyDescent="0.25">
      <c r="A9" s="46">
        <v>9</v>
      </c>
      <c r="B9" s="46">
        <v>7</v>
      </c>
      <c r="C9" s="46">
        <v>2</v>
      </c>
      <c r="D9" s="46" t="s">
        <v>43</v>
      </c>
      <c r="F9" s="49">
        <v>1</v>
      </c>
      <c r="G9" s="49"/>
      <c r="H9" s="36">
        <v>24</v>
      </c>
      <c r="I9" s="49">
        <v>33</v>
      </c>
    </row>
    <row r="10" spans="1:9" x14ac:dyDescent="0.25">
      <c r="A10" s="46">
        <v>9</v>
      </c>
      <c r="B10" s="46">
        <v>7</v>
      </c>
      <c r="C10" s="46">
        <v>3</v>
      </c>
      <c r="D10" s="46" t="s">
        <v>46</v>
      </c>
      <c r="F10" s="49">
        <v>2</v>
      </c>
      <c r="G10" s="49">
        <v>27</v>
      </c>
      <c r="H10" s="36">
        <v>25</v>
      </c>
      <c r="I10" s="49">
        <v>35</v>
      </c>
    </row>
    <row r="11" spans="1:9" x14ac:dyDescent="0.25">
      <c r="A11" s="46">
        <v>10</v>
      </c>
      <c r="B11" s="46">
        <v>5</v>
      </c>
      <c r="C11" s="46">
        <v>1</v>
      </c>
      <c r="D11" s="46" t="s">
        <v>38</v>
      </c>
      <c r="F11" s="49">
        <v>3</v>
      </c>
      <c r="G11" s="49">
        <v>28</v>
      </c>
      <c r="H11" s="36">
        <v>26</v>
      </c>
      <c r="I11" s="49">
        <v>37</v>
      </c>
    </row>
    <row r="12" spans="1:9" x14ac:dyDescent="0.25">
      <c r="A12" s="46">
        <v>10</v>
      </c>
      <c r="B12" s="46">
        <v>5</v>
      </c>
      <c r="C12" s="46">
        <v>2</v>
      </c>
      <c r="D12" s="46" t="s">
        <v>44</v>
      </c>
      <c r="F12" s="49">
        <v>4</v>
      </c>
      <c r="G12" s="49">
        <v>29</v>
      </c>
      <c r="H12" s="36">
        <v>27</v>
      </c>
      <c r="I12" s="49">
        <v>38</v>
      </c>
    </row>
    <row r="13" spans="1:9" x14ac:dyDescent="0.25">
      <c r="A13" s="46">
        <v>10</v>
      </c>
      <c r="B13" s="46">
        <v>5</v>
      </c>
      <c r="C13" s="46">
        <v>3</v>
      </c>
      <c r="D13" s="46" t="s">
        <v>39</v>
      </c>
      <c r="F13" s="49">
        <v>5</v>
      </c>
      <c r="G13" s="49">
        <v>32</v>
      </c>
      <c r="H13" s="36">
        <v>28</v>
      </c>
      <c r="I13" s="49"/>
    </row>
    <row r="14" spans="1:9" x14ac:dyDescent="0.25">
      <c r="A14" s="46">
        <v>10</v>
      </c>
      <c r="B14" s="46">
        <v>6</v>
      </c>
      <c r="C14" s="46">
        <v>1</v>
      </c>
      <c r="D14" s="46" t="s">
        <v>40</v>
      </c>
      <c r="F14" s="49">
        <v>6</v>
      </c>
      <c r="G14" s="49">
        <v>34</v>
      </c>
      <c r="H14" s="36">
        <v>29</v>
      </c>
      <c r="I14" s="49"/>
    </row>
    <row r="15" spans="1:9" x14ac:dyDescent="0.25">
      <c r="A15" s="46">
        <v>10</v>
      </c>
      <c r="B15" s="46">
        <v>6</v>
      </c>
      <c r="C15" s="46">
        <v>2</v>
      </c>
      <c r="D15" s="46" t="s">
        <v>45</v>
      </c>
      <c r="F15" s="49">
        <v>7</v>
      </c>
      <c r="G15" s="49">
        <v>38</v>
      </c>
      <c r="H15" s="36">
        <v>30</v>
      </c>
      <c r="I15" s="49"/>
    </row>
    <row r="16" spans="1:9" x14ac:dyDescent="0.25">
      <c r="A16" s="46">
        <v>10</v>
      </c>
      <c r="B16" s="46">
        <v>6</v>
      </c>
      <c r="C16" s="46">
        <v>3</v>
      </c>
      <c r="D16" s="46" t="s">
        <v>41</v>
      </c>
      <c r="F16" s="49">
        <v>8</v>
      </c>
      <c r="G16" s="49"/>
      <c r="H16" s="36">
        <v>31</v>
      </c>
      <c r="I16" s="49"/>
    </row>
    <row r="17" spans="1:9" x14ac:dyDescent="0.25">
      <c r="A17" s="46">
        <v>10</v>
      </c>
      <c r="B17" s="46">
        <v>7</v>
      </c>
      <c r="C17" s="46">
        <v>1</v>
      </c>
      <c r="D17" s="46" t="s">
        <v>42</v>
      </c>
      <c r="F17" s="49">
        <v>9</v>
      </c>
      <c r="G17" s="49"/>
      <c r="H17" s="36">
        <v>32</v>
      </c>
      <c r="I17" s="49"/>
    </row>
    <row r="18" spans="1:9" x14ac:dyDescent="0.25">
      <c r="A18" s="46">
        <v>10</v>
      </c>
      <c r="B18" s="46">
        <v>7</v>
      </c>
      <c r="C18" s="46">
        <v>2</v>
      </c>
      <c r="D18" s="46" t="s">
        <v>43</v>
      </c>
      <c r="F18" s="49">
        <v>10</v>
      </c>
      <c r="G18" s="49"/>
      <c r="H18" s="36">
        <v>33</v>
      </c>
      <c r="I18" s="49"/>
    </row>
    <row r="19" spans="1:9" x14ac:dyDescent="0.25">
      <c r="A19" s="46">
        <v>10</v>
      </c>
      <c r="B19" s="46">
        <v>7</v>
      </c>
      <c r="C19" s="46">
        <v>3</v>
      </c>
      <c r="D19" s="46" t="s">
        <v>46</v>
      </c>
      <c r="F19" s="49">
        <v>11</v>
      </c>
      <c r="G19" s="49"/>
      <c r="H19" s="36">
        <v>34</v>
      </c>
      <c r="I19" s="49"/>
    </row>
    <row r="20" spans="1:9" x14ac:dyDescent="0.25">
      <c r="A20" s="46">
        <v>11</v>
      </c>
      <c r="B20" s="46">
        <v>5</v>
      </c>
      <c r="C20" s="46">
        <v>1</v>
      </c>
      <c r="D20" s="46" t="s">
        <v>38</v>
      </c>
      <c r="F20" s="49">
        <v>12</v>
      </c>
      <c r="G20" s="49"/>
      <c r="H20" s="36">
        <v>35</v>
      </c>
      <c r="I20" s="49"/>
    </row>
    <row r="21" spans="1:9" x14ac:dyDescent="0.25">
      <c r="A21" s="46">
        <v>11</v>
      </c>
      <c r="B21" s="46">
        <v>5</v>
      </c>
      <c r="C21" s="46">
        <v>2</v>
      </c>
      <c r="D21" s="46" t="s">
        <v>44</v>
      </c>
      <c r="F21" s="49">
        <v>13</v>
      </c>
      <c r="G21" s="49"/>
      <c r="H21" s="36">
        <v>36</v>
      </c>
      <c r="I21" s="49"/>
    </row>
    <row r="22" spans="1:9" x14ac:dyDescent="0.25">
      <c r="A22" s="46">
        <v>11</v>
      </c>
      <c r="B22" s="46">
        <v>5</v>
      </c>
      <c r="C22" s="46">
        <v>3</v>
      </c>
      <c r="D22" s="46" t="s">
        <v>39</v>
      </c>
      <c r="F22" s="49">
        <v>14</v>
      </c>
      <c r="G22" s="49"/>
      <c r="H22" s="36">
        <v>37</v>
      </c>
      <c r="I22" s="49"/>
    </row>
    <row r="23" spans="1:9" x14ac:dyDescent="0.25">
      <c r="A23" s="46">
        <v>11</v>
      </c>
      <c r="B23" s="46">
        <v>6</v>
      </c>
      <c r="C23" s="46">
        <v>1</v>
      </c>
      <c r="D23" s="46" t="s">
        <v>40</v>
      </c>
      <c r="F23" s="49">
        <v>15</v>
      </c>
      <c r="G23" s="49"/>
      <c r="H23" s="36">
        <v>38</v>
      </c>
      <c r="I23" s="49"/>
    </row>
    <row r="24" spans="1:9" x14ac:dyDescent="0.25">
      <c r="A24" s="46">
        <v>11</v>
      </c>
      <c r="B24" s="46">
        <v>6</v>
      </c>
      <c r="C24" s="46">
        <v>2</v>
      </c>
      <c r="D24" s="46" t="s">
        <v>45</v>
      </c>
    </row>
    <row r="25" spans="1:9" x14ac:dyDescent="0.25">
      <c r="A25" s="46">
        <v>11</v>
      </c>
      <c r="B25" s="46">
        <v>6</v>
      </c>
      <c r="C25" s="46">
        <v>3</v>
      </c>
      <c r="D25" s="46" t="s">
        <v>41</v>
      </c>
    </row>
    <row r="26" spans="1:9" x14ac:dyDescent="0.25">
      <c r="A26" s="46">
        <v>11</v>
      </c>
      <c r="B26" s="46">
        <v>7</v>
      </c>
      <c r="C26" s="46">
        <v>1</v>
      </c>
      <c r="D26" s="46" t="s">
        <v>42</v>
      </c>
    </row>
    <row r="27" spans="1:9" x14ac:dyDescent="0.25">
      <c r="A27" s="46">
        <v>11</v>
      </c>
      <c r="B27" s="46">
        <v>7</v>
      </c>
      <c r="C27" s="46">
        <v>2</v>
      </c>
      <c r="D27" s="46" t="s">
        <v>43</v>
      </c>
    </row>
    <row r="28" spans="1:9" x14ac:dyDescent="0.25">
      <c r="A28" s="46">
        <v>11</v>
      </c>
      <c r="B28" s="46">
        <v>7</v>
      </c>
      <c r="C28" s="46">
        <v>3</v>
      </c>
      <c r="D28" s="46" t="s">
        <v>46</v>
      </c>
    </row>
    <row r="35" spans="1:3" x14ac:dyDescent="0.25">
      <c r="A35" s="46" t="s">
        <v>51</v>
      </c>
      <c r="B35" s="46" t="s">
        <v>52</v>
      </c>
      <c r="C35" s="46" t="s">
        <v>53</v>
      </c>
    </row>
    <row r="36" spans="1:3" x14ac:dyDescent="0.25">
      <c r="A36" s="46" t="s">
        <v>54</v>
      </c>
      <c r="B36" s="46" t="s">
        <v>55</v>
      </c>
      <c r="C36" s="46" t="s">
        <v>56</v>
      </c>
    </row>
    <row r="37" spans="1:3" x14ac:dyDescent="0.25">
      <c r="A37" s="46" t="s">
        <v>57</v>
      </c>
      <c r="B37" s="46" t="s">
        <v>58</v>
      </c>
      <c r="C37" s="46" t="s">
        <v>59</v>
      </c>
    </row>
    <row r="38" spans="1:3" x14ac:dyDescent="0.25">
      <c r="A38"/>
      <c r="B38"/>
      <c r="C38"/>
    </row>
    <row r="39" spans="1:3" x14ac:dyDescent="0.25">
      <c r="A39"/>
      <c r="B39"/>
      <c r="C39"/>
    </row>
    <row r="40" spans="1:3" x14ac:dyDescent="0.25">
      <c r="A40"/>
      <c r="B40"/>
      <c r="C40"/>
    </row>
    <row r="41" spans="1:3" x14ac:dyDescent="0.25">
      <c r="A41"/>
      <c r="B41"/>
      <c r="C41"/>
    </row>
    <row r="43" spans="1:3" x14ac:dyDescent="0.25">
      <c r="A43"/>
      <c r="B43"/>
      <c r="C4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Urok28_1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clearData1">
                <anchor moveWithCells="1" siz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6" name="Button 7">
              <controlPr defaultSize="0" print="0" autoFill="0" autoPict="0" macro="[0]!Urok29_1">
                <anchor moveWithCells="1" siz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2</xdr:col>
                    <xdr:colOff>600075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7" name="Button 12">
              <controlPr defaultSize="0" print="0" autoFill="0" autoPict="0" macro="[0]!clearData2">
                <anchor moveWithCells="1" siz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3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8" name="Button 13">
              <controlPr defaultSize="0" print="0" autoFill="0" autoPict="0" macro="[0]!formatCells">
                <anchor moveWithCells="1" siz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Sheet1</vt:lpstr>
      <vt:lpstr>Sheet2</vt:lpstr>
      <vt:lpstr>Urok10</vt:lpstr>
      <vt:lpstr>colors</vt:lpstr>
      <vt:lpstr>HW12</vt:lpstr>
      <vt:lpstr>VW</vt:lpstr>
      <vt:lpstr>BSHW</vt:lpstr>
      <vt:lpstr>Find</vt:lpstr>
      <vt:lpstr>MultiArr1</vt:lpstr>
      <vt:lpstr>MultiArr2</vt:lpstr>
      <vt:lpstr>MultiArr3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K27</dc:creator>
  <cp:lastModifiedBy>K27</cp:lastModifiedBy>
  <dcterms:created xsi:type="dcterms:W3CDTF">2015-06-05T18:17:20Z</dcterms:created>
  <dcterms:modified xsi:type="dcterms:W3CDTF">2023-01-08T11:18:16Z</dcterms:modified>
</cp:coreProperties>
</file>